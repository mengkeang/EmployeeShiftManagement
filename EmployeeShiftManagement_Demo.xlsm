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pivotCache/pivotCacheDefinition10.xml" ContentType="application/vnd.openxmlformats-officedocument.spreadsheetml.pivotCacheDefinition+xml"/>
  <Override PartName="/xl/timelineCaches/timelineCache1.xml" ContentType="application/vnd.ms-excel.timeline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tables/table10.xml" ContentType="application/vnd.openxmlformats-officedocument.spreadsheetml.table+xml"/>
  <Override PartName="/xl/tables/table11.xml" ContentType="application/vnd.openxmlformats-officedocument.spreadsheetml.table+xml"/>
  <Override PartName="/xl/queryTables/queryTable1.xml" ContentType="application/vnd.openxmlformats-officedocument.spreadsheetml.queryTable+xml"/>
  <Override PartName="/xl/tables/table12.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hidePivotFieldList="1"/>
  <mc:AlternateContent xmlns:mc="http://schemas.openxmlformats.org/markup-compatibility/2006">
    <mc:Choice Requires="x15">
      <x15ac:absPath xmlns:x15ac="http://schemas.microsoft.com/office/spreadsheetml/2010/11/ac" url="D:\Excel Pro Cambodia\GitHub\EmployeeShiftManagement\"/>
    </mc:Choice>
  </mc:AlternateContent>
  <xr:revisionPtr revIDLastSave="0" documentId="13_ncr:1_{407B20ED-C4ED-4849-B5F6-ECD2CD0CC04F}" xr6:coauthVersionLast="47" xr6:coauthVersionMax="47" xr10:uidLastSave="{00000000-0000-0000-0000-000000000000}"/>
  <bookViews>
    <workbookView xWindow="-98" yWindow="-98" windowWidth="21795" windowHeight="12975" tabRatio="780" xr2:uid="{44E9E5F0-2F11-4BFE-AE81-1A5BDB58AA1C}"/>
  </bookViews>
  <sheets>
    <sheet name="Schedule" sheetId="1" r:id="rId1"/>
    <sheet name="Staff" sheetId="2" r:id="rId2"/>
    <sheet name="Ref" sheetId="3" r:id="rId3"/>
    <sheet name="Setting" sheetId="5" r:id="rId4"/>
    <sheet name="PublicHoliday" sheetId="4" r:id="rId5"/>
    <sheet name="tblWeeklyData" sheetId="6" r:id="rId6"/>
    <sheet name="tblHistory" sheetId="7" r:id="rId7"/>
    <sheet name="Pivot" sheetId="9" r:id="rId8"/>
    <sheet name="Dashboard" sheetId="8" r:id="rId9"/>
  </sheets>
  <definedNames>
    <definedName name="_xlcn.WorksheetConnection_EmployeeShiftManagement_Demo.xlsmtblHistory1" hidden="1">tblHistory[]</definedName>
    <definedName name="ddAssistantChefShift">tblRefAssistantChefShift[ShiftCode]</definedName>
    <definedName name="ddAssistantManagerShift">tblRefAssistantManagerShift[ShiftCode]</definedName>
    <definedName name="ddChefShift">tblRefChefShift[ShiftCode]</definedName>
    <definedName name="ddRole">tblRefRole[Role]</definedName>
    <definedName name="ddServerShift">tblRefServerShift[ShiftCode]</definedName>
    <definedName name="ddStaffName">tblStaff[StaffName]</definedName>
    <definedName name="ddStoreManagerShift">tblRefStoreManagerShift[ShiftCode]</definedName>
    <definedName name="ExternalData_1" localSheetId="5" hidden="1">tblWeeklyData!$A$1:$H$92</definedName>
    <definedName name="holiday_rate_multiplier">Setting!$C$6</definedName>
    <definedName name="holiday_weekend_count">Setting!$C$11</definedName>
    <definedName name="HolidayList">tblPublicHoliday[HOLIDAY]</definedName>
    <definedName name="report_date">Schedule!$B$7</definedName>
    <definedName name="sat_rate_multiplier">Setting!$C$4</definedName>
    <definedName name="Slicer_FullPart">#N/A</definedName>
    <definedName name="Slicer_FullPart1">#N/A</definedName>
    <definedName name="Slicer_RoleCategory">#N/A</definedName>
    <definedName name="Slicer_RoleCategory1">#N/A</definedName>
    <definedName name="Slicer_StaffName">#N/A</definedName>
    <definedName name="sun_rate_multiplier">Setting!$C$5</definedName>
    <definedName name="Timeline_Date">#N/A</definedName>
  </definedNames>
  <calcPr calcId="191029"/>
  <pivotCaches>
    <pivotCache cacheId="0" r:id="rId10"/>
    <pivotCache cacheId="75" r:id="rId11"/>
    <pivotCache cacheId="78" r:id="rId12"/>
    <pivotCache cacheId="81" r:id="rId13"/>
    <pivotCache cacheId="84" r:id="rId14"/>
    <pivotCache cacheId="87" r:id="rId15"/>
    <pivotCache cacheId="90" r:id="rId16"/>
    <pivotCache cacheId="93" r:id="rId17"/>
  </pivotCaches>
  <extLst>
    <ext xmlns:x14="http://schemas.microsoft.com/office/spreadsheetml/2009/9/main" uri="{876F7934-8845-4945-9796-88D515C7AA90}">
      <x14:pivotCaches>
        <pivotCache cacheId="8" r:id="rId18"/>
      </x14:pivotCaches>
    </ext>
    <ext xmlns:x14="http://schemas.microsoft.com/office/spreadsheetml/2009/9/main" uri="{BBE1A952-AA13-448e-AADC-164F8A28A991}">
      <x14:slicerCaches>
        <x14:slicerCache r:id="rId19"/>
        <x14:slicerCache r:id="rId20"/>
        <x14:slicerCache r:id="rId21"/>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9" r:id="rId22"/>
      </x15:timelineCachePivotCaches>
    </ext>
    <ext xmlns:x15="http://schemas.microsoft.com/office/spreadsheetml/2010/11/main" uri="{D0CA8CA8-9F24-4464-BF8E-62219DCF47F9}">
      <x15:timelineCacheRefs>
        <x15:timelineCacheRef r:id="rId23"/>
      </x15:timelineCacheRefs>
    </ext>
    <ext xmlns:x15="http://schemas.microsoft.com/office/spreadsheetml/2010/11/main" uri="{46BE6895-7355-4a93-B00E-2C351335B9C9}">
      <x15:slicerCaches xmlns:x14="http://schemas.microsoft.com/office/spreadsheetml/2009/9/main">
        <x14:slicerCache r:id="rId24"/>
        <x14:slicerCache r:id="rId25"/>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History" name="tblHistory" connection="WorksheetConnection_EmployeeShiftManagement_Demo.xlsm!tblHistory"/>
        </x15:modelTables>
        <x15:extLst>
          <ext xmlns:x16="http://schemas.microsoft.com/office/spreadsheetml/2014/11/main" uri="{9835A34E-60A6-4A7C-AAB8-D5F71C897F49}">
            <x16:modelTimeGroupings>
              <x16:modelTimeGrouping tableName="tblHistory"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 i="6" l="1"/>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O2" i="6"/>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B7" i="1"/>
  <c r="L9" i="1" s="1"/>
  <c r="I2" i="6" s="1"/>
  <c r="C11" i="5"/>
  <c r="H23" i="1"/>
  <c r="I13" i="1"/>
  <c r="I20" i="1"/>
  <c r="I19" i="1"/>
  <c r="I23" i="1"/>
  <c r="I21" i="1"/>
  <c r="H20" i="1"/>
  <c r="H17" i="1"/>
  <c r="H13" i="1"/>
  <c r="I22" i="1"/>
  <c r="H12" i="1"/>
  <c r="H18" i="1"/>
  <c r="I11" i="1"/>
  <c r="H11" i="1"/>
  <c r="H15" i="1"/>
  <c r="I17" i="1"/>
  <c r="H22" i="1"/>
  <c r="I16" i="1"/>
  <c r="I12" i="1"/>
  <c r="H21" i="1"/>
  <c r="I15" i="1"/>
  <c r="I18" i="1"/>
  <c r="H16" i="1"/>
  <c r="I14" i="1"/>
  <c r="H19" i="1"/>
  <c r="H14" i="1"/>
  <c r="I72" i="6" l="1"/>
  <c r="K72" i="6" s="1"/>
  <c r="N72" i="6" s="1"/>
  <c r="I65" i="6"/>
  <c r="K65" i="6" s="1"/>
  <c r="N65" i="6" s="1"/>
  <c r="I16" i="6"/>
  <c r="K16" i="6" s="1"/>
  <c r="N16" i="6" s="1"/>
  <c r="J2" i="6"/>
  <c r="K2" i="6"/>
  <c r="N2" i="6" s="1"/>
  <c r="I79" i="6"/>
  <c r="K79" i="6" s="1"/>
  <c r="N79" i="6" s="1"/>
  <c r="I44" i="6"/>
  <c r="K44" i="6" s="1"/>
  <c r="N44" i="6" s="1"/>
  <c r="I30" i="6"/>
  <c r="K30" i="6" s="1"/>
  <c r="N30" i="6" s="1"/>
  <c r="I58" i="6"/>
  <c r="I9" i="6"/>
  <c r="I37" i="6"/>
  <c r="K37" i="6" s="1"/>
  <c r="N37" i="6" s="1"/>
  <c r="I23" i="6"/>
  <c r="I51" i="6"/>
  <c r="I86" i="6"/>
  <c r="K86" i="6" s="1"/>
  <c r="N86" i="6" s="1"/>
  <c r="L8" i="1"/>
  <c r="M9" i="1"/>
  <c r="J16" i="6" l="1"/>
  <c r="L16" i="6" s="1"/>
  <c r="P16" i="6" s="1"/>
  <c r="J72" i="6"/>
  <c r="L72" i="6" s="1"/>
  <c r="P72" i="6" s="1"/>
  <c r="J65" i="6"/>
  <c r="L65" i="6" s="1"/>
  <c r="P65" i="6" s="1"/>
  <c r="J79" i="6"/>
  <c r="L79" i="6" s="1"/>
  <c r="P79" i="6" s="1"/>
  <c r="J86" i="6"/>
  <c r="L86" i="6" s="1"/>
  <c r="P86" i="6" s="1"/>
  <c r="J9" i="6"/>
  <c r="K9" i="6"/>
  <c r="K58" i="6"/>
  <c r="N58" i="6" s="1"/>
  <c r="J58" i="6"/>
  <c r="L58" i="6" s="1"/>
  <c r="P58" i="6" s="1"/>
  <c r="I66" i="6"/>
  <c r="I87" i="6"/>
  <c r="I3" i="6"/>
  <c r="I24" i="6"/>
  <c r="I52" i="6"/>
  <c r="I38" i="6"/>
  <c r="I73" i="6"/>
  <c r="I10" i="6"/>
  <c r="I59" i="6"/>
  <c r="I31" i="6"/>
  <c r="I45" i="6"/>
  <c r="I80" i="6"/>
  <c r="I17" i="6"/>
  <c r="J37" i="6"/>
  <c r="L37" i="6" s="1"/>
  <c r="P37" i="6" s="1"/>
  <c r="J51" i="6"/>
  <c r="K51" i="6"/>
  <c r="N51" i="6" s="1"/>
  <c r="J30" i="6"/>
  <c r="L30" i="6" s="1"/>
  <c r="P30" i="6" s="1"/>
  <c r="J44" i="6"/>
  <c r="L44" i="6" s="1"/>
  <c r="P44" i="6" s="1"/>
  <c r="J23" i="6"/>
  <c r="K23" i="6"/>
  <c r="N23" i="6" s="1"/>
  <c r="L2" i="6"/>
  <c r="P2" i="6" s="1"/>
  <c r="N9" i="1"/>
  <c r="M8" i="1"/>
  <c r="J31" i="6" l="1"/>
  <c r="K31" i="6"/>
  <c r="N31" i="6" s="1"/>
  <c r="J73" i="6"/>
  <c r="K73" i="6"/>
  <c r="N73" i="6" s="1"/>
  <c r="J38" i="6"/>
  <c r="K38" i="6"/>
  <c r="N38" i="6" s="1"/>
  <c r="J3" i="6"/>
  <c r="K3" i="6"/>
  <c r="N3" i="6" s="1"/>
  <c r="K59" i="6"/>
  <c r="N59" i="6" s="1"/>
  <c r="J59" i="6"/>
  <c r="L59" i="6" s="1"/>
  <c r="P59" i="6" s="1"/>
  <c r="J80" i="6"/>
  <c r="K80" i="6"/>
  <c r="N80" i="6" s="1"/>
  <c r="I18" i="6"/>
  <c r="I39" i="6"/>
  <c r="I67" i="6"/>
  <c r="I88" i="6"/>
  <c r="I4" i="6"/>
  <c r="I53" i="6"/>
  <c r="I25" i="6"/>
  <c r="I74" i="6"/>
  <c r="I32" i="6"/>
  <c r="I11" i="6"/>
  <c r="I81" i="6"/>
  <c r="I60" i="6"/>
  <c r="I46" i="6"/>
  <c r="J10" i="6"/>
  <c r="K10" i="6"/>
  <c r="N10" i="6" s="1"/>
  <c r="L23" i="6"/>
  <c r="P23" i="6" s="1"/>
  <c r="K66" i="6"/>
  <c r="N66" i="6" s="1"/>
  <c r="J66" i="6"/>
  <c r="L9" i="6"/>
  <c r="P9" i="6" s="1"/>
  <c r="N9" i="6"/>
  <c r="K45" i="6"/>
  <c r="N45" i="6" s="1"/>
  <c r="J45" i="6"/>
  <c r="L45" i="6" s="1"/>
  <c r="P45" i="6" s="1"/>
  <c r="J52" i="6"/>
  <c r="K52" i="6"/>
  <c r="N52" i="6" s="1"/>
  <c r="J24" i="6"/>
  <c r="K24" i="6"/>
  <c r="N24" i="6" s="1"/>
  <c r="J87" i="6"/>
  <c r="K87" i="6"/>
  <c r="N87" i="6" s="1"/>
  <c r="L51" i="6"/>
  <c r="P51" i="6" s="1"/>
  <c r="K17" i="6"/>
  <c r="N17" i="6" s="1"/>
  <c r="J17" i="6"/>
  <c r="O9" i="1"/>
  <c r="N8" i="1"/>
  <c r="AA12" i="1"/>
  <c r="AB12" i="1"/>
  <c r="AC12" i="1"/>
  <c r="AD12" i="1"/>
  <c r="AE12" i="1"/>
  <c r="AF12" i="1"/>
  <c r="AA13" i="1"/>
  <c r="AB13" i="1"/>
  <c r="AC13" i="1"/>
  <c r="AD13" i="1"/>
  <c r="AE13" i="1"/>
  <c r="AF13" i="1"/>
  <c r="AA14" i="1"/>
  <c r="AB14" i="1"/>
  <c r="AC14" i="1"/>
  <c r="AD14" i="1"/>
  <c r="AE14" i="1"/>
  <c r="AF14" i="1"/>
  <c r="AA15" i="1"/>
  <c r="AB15" i="1"/>
  <c r="AC15" i="1"/>
  <c r="AD15" i="1"/>
  <c r="AE15" i="1"/>
  <c r="AF15" i="1"/>
  <c r="AA16" i="1"/>
  <c r="AB16" i="1"/>
  <c r="AC16" i="1"/>
  <c r="AD16" i="1"/>
  <c r="AE16" i="1"/>
  <c r="AF16" i="1"/>
  <c r="AA17" i="1"/>
  <c r="AB17" i="1"/>
  <c r="AC17" i="1"/>
  <c r="AD17" i="1"/>
  <c r="AE17" i="1"/>
  <c r="AF17" i="1"/>
  <c r="AA18" i="1"/>
  <c r="AB18" i="1"/>
  <c r="AC18" i="1"/>
  <c r="AD18" i="1"/>
  <c r="AE18" i="1"/>
  <c r="AF18" i="1"/>
  <c r="AA19" i="1"/>
  <c r="AB19" i="1"/>
  <c r="AC19" i="1"/>
  <c r="AD19" i="1"/>
  <c r="AE19" i="1"/>
  <c r="AF19" i="1"/>
  <c r="AA20" i="1"/>
  <c r="AB20" i="1"/>
  <c r="AC20" i="1"/>
  <c r="AD20" i="1"/>
  <c r="AE20" i="1"/>
  <c r="AF20" i="1"/>
  <c r="AA21" i="1"/>
  <c r="AB21" i="1"/>
  <c r="AC21" i="1"/>
  <c r="AD21" i="1"/>
  <c r="AE21" i="1"/>
  <c r="AF21" i="1"/>
  <c r="AA22" i="1"/>
  <c r="AB22" i="1"/>
  <c r="AC22" i="1"/>
  <c r="AD22" i="1"/>
  <c r="AE22" i="1"/>
  <c r="AF22" i="1"/>
  <c r="AA23" i="1"/>
  <c r="AB23" i="1"/>
  <c r="AC23" i="1"/>
  <c r="AD23" i="1"/>
  <c r="AE23" i="1"/>
  <c r="AF23" i="1"/>
  <c r="AA11" i="1"/>
  <c r="AB11" i="1"/>
  <c r="AC11" i="1"/>
  <c r="AD11" i="1"/>
  <c r="AE11" i="1"/>
  <c r="AF11" i="1"/>
  <c r="Z11" i="1"/>
  <c r="Z12" i="1"/>
  <c r="Z13" i="1"/>
  <c r="Z14" i="1"/>
  <c r="Z15" i="1"/>
  <c r="Z16" i="1"/>
  <c r="Z17" i="1"/>
  <c r="Z18" i="1"/>
  <c r="Z19" i="1"/>
  <c r="Z20" i="1"/>
  <c r="Z21" i="1"/>
  <c r="Z22" i="1"/>
  <c r="Z23" i="1"/>
  <c r="M6" i="3"/>
  <c r="M7" i="3"/>
  <c r="M8" i="3"/>
  <c r="M9" i="3"/>
  <c r="M10" i="3"/>
  <c r="M11" i="3"/>
  <c r="M12" i="3"/>
  <c r="M13" i="3"/>
  <c r="M14" i="3"/>
  <c r="M15" i="3"/>
  <c r="M16" i="3"/>
  <c r="M17" i="3"/>
  <c r="M18" i="3"/>
  <c r="M19" i="3"/>
  <c r="M20" i="3"/>
  <c r="M21" i="3"/>
  <c r="M22" i="3"/>
  <c r="M23" i="3"/>
  <c r="M24" i="3"/>
  <c r="M25" i="3"/>
  <c r="M26" i="3"/>
  <c r="M27" i="3"/>
  <c r="L17" i="6" l="1"/>
  <c r="P17" i="6" s="1"/>
  <c r="L66" i="6"/>
  <c r="P66" i="6" s="1"/>
  <c r="L80" i="6"/>
  <c r="P80" i="6" s="1"/>
  <c r="L52" i="6"/>
  <c r="P52" i="6" s="1"/>
  <c r="J67" i="6"/>
  <c r="K67" i="6"/>
  <c r="N67" i="6" s="1"/>
  <c r="J88" i="6"/>
  <c r="K88" i="6"/>
  <c r="N88" i="6" s="1"/>
  <c r="K46" i="6"/>
  <c r="N46" i="6" s="1"/>
  <c r="J46" i="6"/>
  <c r="I82" i="6"/>
  <c r="I19" i="6"/>
  <c r="I68" i="6"/>
  <c r="I40" i="6"/>
  <c r="I5" i="6"/>
  <c r="I54" i="6"/>
  <c r="I89" i="6"/>
  <c r="I26" i="6"/>
  <c r="I47" i="6"/>
  <c r="I33" i="6"/>
  <c r="I75" i="6"/>
  <c r="I12" i="6"/>
  <c r="I61" i="6"/>
  <c r="L87" i="6"/>
  <c r="P87" i="6" s="1"/>
  <c r="J81" i="6"/>
  <c r="K81" i="6"/>
  <c r="N81" i="6" s="1"/>
  <c r="L3" i="6"/>
  <c r="P3" i="6" s="1"/>
  <c r="L38" i="6"/>
  <c r="P38" i="6" s="1"/>
  <c r="J25" i="6"/>
  <c r="K25" i="6"/>
  <c r="N25" i="6" s="1"/>
  <c r="L73" i="6"/>
  <c r="P73" i="6" s="1"/>
  <c r="K18" i="6"/>
  <c r="N18" i="6" s="1"/>
  <c r="J18" i="6"/>
  <c r="K60" i="6"/>
  <c r="N60" i="6" s="1"/>
  <c r="J60" i="6"/>
  <c r="L24" i="6"/>
  <c r="P24" i="6" s="1"/>
  <c r="K53" i="6"/>
  <c r="N53" i="6" s="1"/>
  <c r="J53" i="6"/>
  <c r="J39" i="6"/>
  <c r="K39" i="6"/>
  <c r="N39" i="6" s="1"/>
  <c r="L10" i="6"/>
  <c r="P10" i="6" s="1"/>
  <c r="J11" i="6"/>
  <c r="K11" i="6"/>
  <c r="N11" i="6" s="1"/>
  <c r="J32" i="6"/>
  <c r="K32" i="6"/>
  <c r="J74" i="6"/>
  <c r="K74" i="6"/>
  <c r="N74" i="6" s="1"/>
  <c r="K4" i="6"/>
  <c r="N4" i="6" s="1"/>
  <c r="J4" i="6"/>
  <c r="L31" i="6"/>
  <c r="P31" i="6" s="1"/>
  <c r="P9" i="1"/>
  <c r="O8" i="1"/>
  <c r="L7" i="3"/>
  <c r="L8" i="3"/>
  <c r="L9" i="3"/>
  <c r="L10" i="3"/>
  <c r="L11" i="3"/>
  <c r="L12" i="3"/>
  <c r="L13" i="3"/>
  <c r="L14" i="3"/>
  <c r="L15" i="3"/>
  <c r="L16" i="3"/>
  <c r="L17" i="3"/>
  <c r="L18" i="3"/>
  <c r="L19" i="3"/>
  <c r="L20" i="3"/>
  <c r="L21" i="3"/>
  <c r="L22" i="3"/>
  <c r="L23" i="3"/>
  <c r="L24" i="3"/>
  <c r="L25" i="3"/>
  <c r="L26" i="3"/>
  <c r="L27" i="3"/>
  <c r="L6" i="3"/>
  <c r="B12" i="1" a="1"/>
  <c r="B12" i="1" s="1"/>
  <c r="D12" i="1" a="1"/>
  <c r="D12" i="1" s="1"/>
  <c r="E12" i="1" a="1"/>
  <c r="E12" i="1" s="1"/>
  <c r="F12" i="1" a="1"/>
  <c r="F12" i="1" s="1"/>
  <c r="B13" i="1" a="1"/>
  <c r="B13" i="1" s="1"/>
  <c r="D13" i="1" a="1"/>
  <c r="D13" i="1" s="1"/>
  <c r="E13" i="1" a="1"/>
  <c r="E13" i="1" s="1"/>
  <c r="F13" i="1" a="1"/>
  <c r="F13" i="1" s="1"/>
  <c r="B14" i="1" a="1"/>
  <c r="B14" i="1" s="1"/>
  <c r="D14" i="1" a="1"/>
  <c r="D14" i="1" s="1"/>
  <c r="E14" i="1" a="1"/>
  <c r="E14" i="1" s="1"/>
  <c r="F14" i="1" a="1"/>
  <c r="F14" i="1" s="1"/>
  <c r="B15" i="1" a="1"/>
  <c r="B15" i="1" s="1"/>
  <c r="D15" i="1" a="1"/>
  <c r="D15" i="1" s="1"/>
  <c r="E15" i="1" a="1"/>
  <c r="E15" i="1" s="1"/>
  <c r="F15" i="1" a="1"/>
  <c r="F15" i="1" s="1"/>
  <c r="B16" i="1" a="1"/>
  <c r="B16" i="1" s="1"/>
  <c r="D16" i="1" a="1"/>
  <c r="D16" i="1" s="1"/>
  <c r="E16" i="1" a="1"/>
  <c r="E16" i="1" s="1"/>
  <c r="F16" i="1" a="1"/>
  <c r="F16" i="1" s="1"/>
  <c r="B17" i="1" a="1"/>
  <c r="B17" i="1" s="1"/>
  <c r="D17" i="1" a="1"/>
  <c r="D17" i="1" s="1"/>
  <c r="E17" i="1" a="1"/>
  <c r="E17" i="1" s="1"/>
  <c r="F17" i="1" a="1"/>
  <c r="F17" i="1" s="1"/>
  <c r="B18" i="1" a="1"/>
  <c r="B18" i="1" s="1"/>
  <c r="D18" i="1" a="1"/>
  <c r="D18" i="1" s="1"/>
  <c r="E18" i="1" a="1"/>
  <c r="E18" i="1" s="1"/>
  <c r="F18" i="1" a="1"/>
  <c r="F18" i="1" s="1"/>
  <c r="B19" i="1" a="1"/>
  <c r="B19" i="1" s="1"/>
  <c r="D19" i="1" a="1"/>
  <c r="D19" i="1" s="1"/>
  <c r="E19" i="1" a="1"/>
  <c r="E19" i="1" s="1"/>
  <c r="F19" i="1" a="1"/>
  <c r="F19" i="1" s="1"/>
  <c r="B20" i="1" a="1"/>
  <c r="B20" i="1" s="1"/>
  <c r="D20" i="1" a="1"/>
  <c r="D20" i="1" s="1"/>
  <c r="E20" i="1" a="1"/>
  <c r="E20" i="1" s="1"/>
  <c r="F20" i="1" a="1"/>
  <c r="F20" i="1" s="1"/>
  <c r="B21" i="1" a="1"/>
  <c r="B21" i="1" s="1"/>
  <c r="D21" i="1" a="1"/>
  <c r="D21" i="1" s="1"/>
  <c r="E21" i="1" a="1"/>
  <c r="E21" i="1" s="1"/>
  <c r="F21" i="1" a="1"/>
  <c r="F21" i="1" s="1"/>
  <c r="B22" i="1" a="1"/>
  <c r="B22" i="1" s="1"/>
  <c r="D22" i="1" a="1"/>
  <c r="D22" i="1" s="1"/>
  <c r="E22" i="1" a="1"/>
  <c r="E22" i="1" s="1"/>
  <c r="F22" i="1" a="1"/>
  <c r="F22" i="1" s="1"/>
  <c r="B23" i="1" a="1"/>
  <c r="B23" i="1" s="1"/>
  <c r="D23" i="1" a="1"/>
  <c r="D23" i="1" s="1"/>
  <c r="E23" i="1" a="1"/>
  <c r="E23" i="1" s="1"/>
  <c r="F23" i="1" a="1"/>
  <c r="F23" i="1" s="1"/>
  <c r="D11" i="1" a="1"/>
  <c r="D11" i="1" s="1"/>
  <c r="E11" i="1" a="1"/>
  <c r="E11" i="1" s="1"/>
  <c r="F11" i="1" a="1"/>
  <c r="F11" i="1" s="1"/>
  <c r="B11" i="1" a="1"/>
  <c r="B11" i="1" s="1"/>
  <c r="L53" i="6" l="1"/>
  <c r="P53" i="6" s="1"/>
  <c r="L46" i="6"/>
  <c r="P46" i="6" s="1"/>
  <c r="L4" i="6"/>
  <c r="P4" i="6" s="1"/>
  <c r="L18" i="6"/>
  <c r="P18" i="6" s="1"/>
  <c r="L11" i="6"/>
  <c r="P11" i="6" s="1"/>
  <c r="J33" i="6"/>
  <c r="K33" i="6"/>
  <c r="N33" i="6" s="1"/>
  <c r="I34" i="6"/>
  <c r="I83" i="6"/>
  <c r="I20" i="6"/>
  <c r="I69" i="6"/>
  <c r="I55" i="6"/>
  <c r="I6" i="6"/>
  <c r="I41" i="6"/>
  <c r="I90" i="6"/>
  <c r="I27" i="6"/>
  <c r="I76" i="6"/>
  <c r="I48" i="6"/>
  <c r="I13" i="6"/>
  <c r="I62" i="6"/>
  <c r="L60" i="6"/>
  <c r="P60" i="6" s="1"/>
  <c r="J47" i="6"/>
  <c r="K47" i="6"/>
  <c r="N47" i="6" s="1"/>
  <c r="K26" i="6"/>
  <c r="N26" i="6" s="1"/>
  <c r="J26" i="6"/>
  <c r="J89" i="6"/>
  <c r="K89" i="6"/>
  <c r="N89" i="6" s="1"/>
  <c r="K54" i="6"/>
  <c r="N54" i="6" s="1"/>
  <c r="J54" i="6"/>
  <c r="K5" i="6"/>
  <c r="N5" i="6" s="1"/>
  <c r="J5" i="6"/>
  <c r="L74" i="6"/>
  <c r="P74" i="6" s="1"/>
  <c r="J40" i="6"/>
  <c r="K40" i="6"/>
  <c r="L32" i="6"/>
  <c r="P32" i="6" s="1"/>
  <c r="N32" i="6"/>
  <c r="L25" i="6"/>
  <c r="P25" i="6" s="1"/>
  <c r="K68" i="6"/>
  <c r="N68" i="6" s="1"/>
  <c r="J68" i="6"/>
  <c r="J19" i="6"/>
  <c r="K19" i="6"/>
  <c r="N19" i="6" s="1"/>
  <c r="J82" i="6"/>
  <c r="K82" i="6"/>
  <c r="N82" i="6" s="1"/>
  <c r="L39" i="6"/>
  <c r="P39" i="6" s="1"/>
  <c r="K61" i="6"/>
  <c r="N61" i="6" s="1"/>
  <c r="J61" i="6"/>
  <c r="L88" i="6"/>
  <c r="P88" i="6" s="1"/>
  <c r="L81" i="6"/>
  <c r="P81" i="6" s="1"/>
  <c r="K12" i="6"/>
  <c r="N12" i="6" s="1"/>
  <c r="J12" i="6"/>
  <c r="J75" i="6"/>
  <c r="K75" i="6"/>
  <c r="N75" i="6" s="1"/>
  <c r="L67" i="6"/>
  <c r="P67" i="6" s="1"/>
  <c r="Q9" i="1"/>
  <c r="P8" i="1"/>
  <c r="S13" i="1"/>
  <c r="AG13" i="1" s="1" a="1"/>
  <c r="AG13" i="1" s="1"/>
  <c r="V13" i="1"/>
  <c r="AJ13" i="1" s="1" a="1"/>
  <c r="AJ13" i="1" s="1"/>
  <c r="W13" i="1"/>
  <c r="AK13" i="1" s="1" a="1"/>
  <c r="AK13" i="1" s="1"/>
  <c r="X13" i="1"/>
  <c r="Y13" i="1"/>
  <c r="T13" i="1"/>
  <c r="AH13" i="1" s="1" a="1"/>
  <c r="AH13" i="1" s="1"/>
  <c r="U13" i="1"/>
  <c r="AI13" i="1" s="1" a="1"/>
  <c r="AI13" i="1" s="1"/>
  <c r="S20" i="1"/>
  <c r="AG20" i="1" s="1" a="1"/>
  <c r="AG20" i="1" s="1"/>
  <c r="T20" i="1"/>
  <c r="AH20" i="1" s="1" a="1"/>
  <c r="AH20" i="1" s="1"/>
  <c r="U20" i="1"/>
  <c r="AI20" i="1" s="1" a="1"/>
  <c r="AI20" i="1" s="1"/>
  <c r="V20" i="1"/>
  <c r="AJ20" i="1" s="1" a="1"/>
  <c r="AJ20" i="1" s="1"/>
  <c r="Y20" i="1"/>
  <c r="X20" i="1"/>
  <c r="W20" i="1"/>
  <c r="AK20" i="1" s="1" a="1"/>
  <c r="AK20" i="1" s="1"/>
  <c r="W16" i="1"/>
  <c r="AK16" i="1" s="1" a="1"/>
  <c r="AK16" i="1" s="1"/>
  <c r="V16" i="1"/>
  <c r="AJ16" i="1" s="1" a="1"/>
  <c r="AJ16" i="1" s="1"/>
  <c r="X16" i="1"/>
  <c r="T16" i="1"/>
  <c r="AH16" i="1" s="1" a="1"/>
  <c r="AH16" i="1" s="1"/>
  <c r="Y16" i="1"/>
  <c r="S16" i="1"/>
  <c r="AG16" i="1" s="1" a="1"/>
  <c r="AG16" i="1" s="1"/>
  <c r="U16" i="1"/>
  <c r="AI16" i="1" s="1" a="1"/>
  <c r="AI16" i="1" s="1"/>
  <c r="S12" i="1"/>
  <c r="AG12" i="1" s="1" a="1"/>
  <c r="AG12" i="1" s="1"/>
  <c r="V12" i="1"/>
  <c r="AJ12" i="1" s="1" a="1"/>
  <c r="AJ12" i="1" s="1"/>
  <c r="T12" i="1"/>
  <c r="AH12" i="1" s="1" a="1"/>
  <c r="AH12" i="1" s="1"/>
  <c r="U12" i="1"/>
  <c r="AI12" i="1" s="1" a="1"/>
  <c r="AI12" i="1" s="1"/>
  <c r="W12" i="1"/>
  <c r="AK12" i="1" s="1" a="1"/>
  <c r="AK12" i="1" s="1"/>
  <c r="X12" i="1"/>
  <c r="Y12" i="1"/>
  <c r="U14" i="1"/>
  <c r="AI14" i="1" s="1" a="1"/>
  <c r="AI14" i="1" s="1"/>
  <c r="X14" i="1"/>
  <c r="S14" i="1"/>
  <c r="AG14" i="1" s="1" a="1"/>
  <c r="AG14" i="1" s="1"/>
  <c r="V14" i="1"/>
  <c r="AJ14" i="1" s="1" a="1"/>
  <c r="AJ14" i="1" s="1"/>
  <c r="W14" i="1"/>
  <c r="AK14" i="1" s="1" a="1"/>
  <c r="AK14" i="1" s="1"/>
  <c r="Y14" i="1"/>
  <c r="T14" i="1"/>
  <c r="AH14" i="1" s="1" a="1"/>
  <c r="AH14" i="1" s="1"/>
  <c r="Y18" i="1"/>
  <c r="S18" i="1"/>
  <c r="AG18" i="1" s="1" a="1"/>
  <c r="AG18" i="1" s="1"/>
  <c r="U18" i="1"/>
  <c r="AI18" i="1" s="1" a="1"/>
  <c r="AI18" i="1" s="1"/>
  <c r="W18" i="1"/>
  <c r="AK18" i="1" s="1" a="1"/>
  <c r="AK18" i="1" s="1"/>
  <c r="T18" i="1"/>
  <c r="AH18" i="1" s="1" a="1"/>
  <c r="AH18" i="1" s="1"/>
  <c r="X18" i="1"/>
  <c r="V18" i="1"/>
  <c r="AJ18" i="1" s="1" a="1"/>
  <c r="AJ18" i="1" s="1"/>
  <c r="S17" i="1"/>
  <c r="AG17" i="1" s="1" a="1"/>
  <c r="AG17" i="1" s="1"/>
  <c r="W17" i="1"/>
  <c r="AK17" i="1" s="1" a="1"/>
  <c r="AK17" i="1" s="1"/>
  <c r="Y17" i="1"/>
  <c r="X17" i="1"/>
  <c r="T17" i="1"/>
  <c r="AH17" i="1" s="1" a="1"/>
  <c r="AH17" i="1" s="1"/>
  <c r="U17" i="1"/>
  <c r="AI17" i="1" s="1" a="1"/>
  <c r="AI17" i="1" s="1"/>
  <c r="V17" i="1"/>
  <c r="AJ17" i="1" s="1" a="1"/>
  <c r="AJ17" i="1" s="1"/>
  <c r="T15" i="1"/>
  <c r="AH15" i="1" s="1" a="1"/>
  <c r="AH15" i="1" s="1"/>
  <c r="V15" i="1"/>
  <c r="AJ15" i="1" s="1" a="1"/>
  <c r="AJ15" i="1" s="1"/>
  <c r="W15" i="1"/>
  <c r="AK15" i="1" s="1" a="1"/>
  <c r="AK15" i="1" s="1"/>
  <c r="S15" i="1"/>
  <c r="AG15" i="1" s="1" a="1"/>
  <c r="AG15" i="1" s="1"/>
  <c r="U15" i="1"/>
  <c r="AI15" i="1" s="1" a="1"/>
  <c r="AI15" i="1" s="1"/>
  <c r="X15" i="1"/>
  <c r="AL15" i="1" s="1" a="1"/>
  <c r="AL15" i="1" s="1"/>
  <c r="Y15" i="1"/>
  <c r="T22" i="1"/>
  <c r="AH22" i="1" s="1" a="1"/>
  <c r="AH22" i="1" s="1"/>
  <c r="S22" i="1"/>
  <c r="AG22" i="1" s="1" a="1"/>
  <c r="AG22" i="1" s="1"/>
  <c r="U22" i="1"/>
  <c r="AI22" i="1" s="1" a="1"/>
  <c r="AI22" i="1" s="1"/>
  <c r="V22" i="1"/>
  <c r="AJ22" i="1" s="1" a="1"/>
  <c r="AJ22" i="1" s="1"/>
  <c r="W22" i="1"/>
  <c r="AK22" i="1" s="1" a="1"/>
  <c r="AK22" i="1" s="1"/>
  <c r="X22" i="1"/>
  <c r="Y22" i="1"/>
  <c r="T21" i="1"/>
  <c r="AH21" i="1" s="1" a="1"/>
  <c r="AH21" i="1" s="1"/>
  <c r="W21" i="1"/>
  <c r="AK21" i="1" s="1" a="1"/>
  <c r="AK21" i="1" s="1"/>
  <c r="U21" i="1"/>
  <c r="AI21" i="1" s="1" a="1"/>
  <c r="AI21" i="1" s="1"/>
  <c r="V21" i="1"/>
  <c r="AJ21" i="1" s="1" a="1"/>
  <c r="AJ21" i="1" s="1"/>
  <c r="X21" i="1"/>
  <c r="AL21" i="1" s="1" a="1"/>
  <c r="AL21" i="1" s="1"/>
  <c r="Y21" i="1"/>
  <c r="S21" i="1"/>
  <c r="AG21" i="1" s="1" a="1"/>
  <c r="AG21" i="1" s="1"/>
  <c r="V23" i="1"/>
  <c r="AJ23" i="1" s="1" a="1"/>
  <c r="AJ23" i="1" s="1"/>
  <c r="Y23" i="1"/>
  <c r="S23" i="1"/>
  <c r="AG23" i="1" s="1" a="1"/>
  <c r="AG23" i="1" s="1"/>
  <c r="T23" i="1"/>
  <c r="AH23" i="1" s="1" a="1"/>
  <c r="AH23" i="1" s="1"/>
  <c r="U23" i="1"/>
  <c r="AI23" i="1" s="1" a="1"/>
  <c r="AI23" i="1" s="1"/>
  <c r="W23" i="1"/>
  <c r="AK23" i="1" s="1" a="1"/>
  <c r="AK23" i="1" s="1"/>
  <c r="X23" i="1"/>
  <c r="U19" i="1"/>
  <c r="AI19" i="1" s="1" a="1"/>
  <c r="AI19" i="1" s="1"/>
  <c r="X19" i="1"/>
  <c r="AL19" i="1" s="1" a="1"/>
  <c r="AL19" i="1" s="1"/>
  <c r="S19" i="1"/>
  <c r="AG19" i="1" s="1" a="1"/>
  <c r="AG19" i="1" s="1"/>
  <c r="T19" i="1"/>
  <c r="AH19" i="1" s="1" a="1"/>
  <c r="AH19" i="1" s="1"/>
  <c r="V19" i="1"/>
  <c r="AJ19" i="1" s="1" a="1"/>
  <c r="AJ19" i="1" s="1"/>
  <c r="W19" i="1"/>
  <c r="AK19" i="1" s="1" a="1"/>
  <c r="AK19" i="1" s="1"/>
  <c r="Y19" i="1"/>
  <c r="S11" i="1"/>
  <c r="AG11" i="1" s="1" a="1"/>
  <c r="AG11" i="1" s="1"/>
  <c r="T11" i="1"/>
  <c r="AH11" i="1" s="1" a="1"/>
  <c r="AH11" i="1" s="1"/>
  <c r="U11" i="1"/>
  <c r="AI11" i="1" s="1" a="1"/>
  <c r="AI11" i="1" s="1"/>
  <c r="V11" i="1"/>
  <c r="AJ11" i="1" s="1" a="1"/>
  <c r="AJ11" i="1" s="1"/>
  <c r="W11" i="1"/>
  <c r="AK11" i="1" s="1" a="1"/>
  <c r="AK11" i="1" s="1"/>
  <c r="X11" i="1"/>
  <c r="AL11" i="1" s="1" a="1"/>
  <c r="AL11" i="1" s="1"/>
  <c r="Y11" i="1"/>
  <c r="C22" i="1"/>
  <c r="C18" i="1"/>
  <c r="C17" i="1"/>
  <c r="C20" i="1"/>
  <c r="C16" i="1"/>
  <c r="C12" i="1"/>
  <c r="C13" i="1"/>
  <c r="C21" i="1"/>
  <c r="C15" i="1"/>
  <c r="C14" i="1"/>
  <c r="C23" i="1"/>
  <c r="C19" i="1"/>
  <c r="C11" i="1"/>
  <c r="E28" i="4"/>
  <c r="E27" i="4"/>
  <c r="E26" i="4"/>
  <c r="E25" i="4"/>
  <c r="E24" i="4"/>
  <c r="E23" i="4"/>
  <c r="E22" i="4"/>
  <c r="E21" i="4"/>
  <c r="E20" i="4"/>
  <c r="E19" i="4"/>
  <c r="E18" i="4"/>
  <c r="E17" i="4"/>
  <c r="E16" i="4"/>
  <c r="E15" i="4"/>
  <c r="E14" i="4"/>
  <c r="E13" i="4"/>
  <c r="E12" i="4"/>
  <c r="E11" i="4"/>
  <c r="E10" i="4"/>
  <c r="E9" i="4"/>
  <c r="E8" i="4"/>
  <c r="AL16" i="1" l="1" a="1"/>
  <c r="AL16" i="1" s="1"/>
  <c r="L68" i="6"/>
  <c r="P68" i="6" s="1"/>
  <c r="L61" i="6"/>
  <c r="P61" i="6" s="1"/>
  <c r="L12" i="6"/>
  <c r="P12" i="6" s="1"/>
  <c r="L75" i="6"/>
  <c r="P75" i="6" s="1"/>
  <c r="L5" i="6"/>
  <c r="P5" i="6" s="1"/>
  <c r="L54" i="6"/>
  <c r="P54" i="6" s="1"/>
  <c r="L26" i="6"/>
  <c r="P26" i="6" s="1"/>
  <c r="K62" i="6"/>
  <c r="N62" i="6" s="1"/>
  <c r="J62" i="6"/>
  <c r="K13" i="6"/>
  <c r="N13" i="6" s="1"/>
  <c r="J13" i="6"/>
  <c r="L13" i="6" s="1"/>
  <c r="P13" i="6" s="1"/>
  <c r="L40" i="6"/>
  <c r="P40" i="6" s="1"/>
  <c r="N40" i="6"/>
  <c r="J48" i="6"/>
  <c r="K48" i="6"/>
  <c r="N48" i="6" s="1"/>
  <c r="K76" i="6"/>
  <c r="N76" i="6" s="1"/>
  <c r="J76" i="6"/>
  <c r="J27" i="6"/>
  <c r="K27" i="6"/>
  <c r="N27" i="6" s="1"/>
  <c r="J90" i="6"/>
  <c r="K90" i="6"/>
  <c r="N90" i="6" s="1"/>
  <c r="J41" i="6"/>
  <c r="K41" i="6"/>
  <c r="K6" i="6"/>
  <c r="N6" i="6" s="1"/>
  <c r="J6" i="6"/>
  <c r="J55" i="6"/>
  <c r="K55" i="6"/>
  <c r="N55" i="6" s="1"/>
  <c r="K69" i="6"/>
  <c r="N69" i="6" s="1"/>
  <c r="J69" i="6"/>
  <c r="L82" i="6"/>
  <c r="P82" i="6" s="1"/>
  <c r="L89" i="6"/>
  <c r="P89" i="6" s="1"/>
  <c r="J20" i="6"/>
  <c r="K20" i="6"/>
  <c r="N20" i="6" s="1"/>
  <c r="J83" i="6"/>
  <c r="K83" i="6"/>
  <c r="N83" i="6" s="1"/>
  <c r="L19" i="6"/>
  <c r="P19" i="6" s="1"/>
  <c r="J34" i="6"/>
  <c r="L34" i="6" s="1"/>
  <c r="P34" i="6" s="1"/>
  <c r="K34" i="6"/>
  <c r="N34" i="6" s="1"/>
  <c r="I56" i="6"/>
  <c r="I35" i="6"/>
  <c r="I84" i="6"/>
  <c r="I70" i="6"/>
  <c r="I21" i="6"/>
  <c r="I7" i="6"/>
  <c r="I42" i="6"/>
  <c r="I91" i="6"/>
  <c r="I14" i="6"/>
  <c r="I28" i="6"/>
  <c r="I77" i="6"/>
  <c r="I49" i="6"/>
  <c r="I63" i="6"/>
  <c r="L47" i="6"/>
  <c r="P47" i="6" s="1"/>
  <c r="L33" i="6"/>
  <c r="P33" i="6" s="1"/>
  <c r="AL12" i="1" a="1"/>
  <c r="AL12" i="1" s="1"/>
  <c r="AL18" i="1" a="1"/>
  <c r="AL18" i="1" s="1"/>
  <c r="AL13" i="1" a="1"/>
  <c r="AL13" i="1" s="1"/>
  <c r="AL22" i="1" a="1"/>
  <c r="AL22" i="1" s="1"/>
  <c r="AL17" i="1" a="1"/>
  <c r="AL17" i="1" s="1"/>
  <c r="AL14" i="1" a="1"/>
  <c r="AL14" i="1" s="1"/>
  <c r="AL23" i="1" a="1"/>
  <c r="AL23" i="1" s="1"/>
  <c r="AL20" i="1" a="1"/>
  <c r="AL20" i="1" s="1"/>
  <c r="R9" i="1"/>
  <c r="Q8" i="1"/>
  <c r="M39" i="1"/>
  <c r="Q41" i="1"/>
  <c r="Q35" i="1"/>
  <c r="L31" i="1"/>
  <c r="L39" i="1"/>
  <c r="L36" i="1"/>
  <c r="N39" i="1"/>
  <c r="R41" i="1"/>
  <c r="R35" i="1"/>
  <c r="L40" i="1"/>
  <c r="M32" i="1"/>
  <c r="O39" i="1"/>
  <c r="L41" i="1"/>
  <c r="L35" i="1"/>
  <c r="L32" i="1"/>
  <c r="N32" i="1"/>
  <c r="P39" i="1"/>
  <c r="Q39" i="1"/>
  <c r="R39" i="1"/>
  <c r="M40" i="1"/>
  <c r="M36" i="1"/>
  <c r="O32" i="1"/>
  <c r="M35" i="1"/>
  <c r="P31" i="1"/>
  <c r="N40" i="1"/>
  <c r="N36" i="1"/>
  <c r="P32" i="1"/>
  <c r="O31" i="1"/>
  <c r="O40" i="1"/>
  <c r="O36" i="1"/>
  <c r="Q32" i="1"/>
  <c r="N31" i="1"/>
  <c r="N35" i="1"/>
  <c r="P40" i="1"/>
  <c r="P36" i="1"/>
  <c r="R32" i="1"/>
  <c r="R36" i="1"/>
  <c r="Q40" i="1"/>
  <c r="Q36" i="1"/>
  <c r="M31" i="1"/>
  <c r="R40" i="1"/>
  <c r="M41" i="1"/>
  <c r="N41" i="1"/>
  <c r="O41" i="1"/>
  <c r="O35" i="1"/>
  <c r="Q31" i="1"/>
  <c r="P41" i="1"/>
  <c r="P35" i="1"/>
  <c r="R31" i="1"/>
  <c r="G19" i="1"/>
  <c r="G12" i="1"/>
  <c r="G20" i="1"/>
  <c r="G15" i="1"/>
  <c r="G18" i="1"/>
  <c r="G14" i="1"/>
  <c r="G17" i="1"/>
  <c r="G22" i="1"/>
  <c r="G23" i="1"/>
  <c r="G21" i="1"/>
  <c r="G16" i="1"/>
  <c r="G13" i="1"/>
  <c r="G11" i="1"/>
  <c r="L69" i="6" l="1"/>
  <c r="P69" i="6" s="1"/>
  <c r="L76" i="6"/>
  <c r="P76" i="6" s="1"/>
  <c r="L62" i="6"/>
  <c r="P62" i="6" s="1"/>
  <c r="L6" i="6"/>
  <c r="P6" i="6" s="1"/>
  <c r="J56" i="6"/>
  <c r="K56" i="6"/>
  <c r="L41" i="6"/>
  <c r="P41" i="6" s="1"/>
  <c r="N41" i="6"/>
  <c r="L90" i="6"/>
  <c r="P90" i="6" s="1"/>
  <c r="J49" i="6"/>
  <c r="K49" i="6"/>
  <c r="N49" i="6" s="1"/>
  <c r="L83" i="6"/>
  <c r="P83" i="6" s="1"/>
  <c r="L27" i="6"/>
  <c r="P27" i="6" s="1"/>
  <c r="K63" i="6"/>
  <c r="N63" i="6" s="1"/>
  <c r="J63" i="6"/>
  <c r="K77" i="6"/>
  <c r="N77" i="6" s="1"/>
  <c r="J77" i="6"/>
  <c r="K28" i="6"/>
  <c r="N28" i="6" s="1"/>
  <c r="J28" i="6"/>
  <c r="L20" i="6"/>
  <c r="P20" i="6" s="1"/>
  <c r="K14" i="6"/>
  <c r="N14" i="6" s="1"/>
  <c r="J14" i="6"/>
  <c r="I50" i="6"/>
  <c r="I22" i="6"/>
  <c r="I36" i="6"/>
  <c r="I71" i="6"/>
  <c r="I85" i="6"/>
  <c r="I8" i="6"/>
  <c r="I57" i="6"/>
  <c r="I64" i="6"/>
  <c r="I43" i="6"/>
  <c r="I15" i="6"/>
  <c r="I92" i="6"/>
  <c r="I29" i="6"/>
  <c r="I78" i="6"/>
  <c r="K91" i="6"/>
  <c r="N91" i="6" s="1"/>
  <c r="J91" i="6"/>
  <c r="L48" i="6"/>
  <c r="P48" i="6" s="1"/>
  <c r="K42" i="6"/>
  <c r="N42" i="6" s="1"/>
  <c r="J42" i="6"/>
  <c r="L42" i="6" s="1"/>
  <c r="P42" i="6" s="1"/>
  <c r="J7" i="6"/>
  <c r="K7" i="6"/>
  <c r="N7" i="6" s="1"/>
  <c r="K21" i="6"/>
  <c r="N21" i="6" s="1"/>
  <c r="J21" i="6"/>
  <c r="K70" i="6"/>
  <c r="N70" i="6" s="1"/>
  <c r="J70" i="6"/>
  <c r="L70" i="6" s="1"/>
  <c r="P70" i="6" s="1"/>
  <c r="L55" i="6"/>
  <c r="P55" i="6" s="1"/>
  <c r="J84" i="6"/>
  <c r="K84" i="6"/>
  <c r="N84" i="6" s="1"/>
  <c r="K35" i="6"/>
  <c r="N35" i="6" s="1"/>
  <c r="J35" i="6"/>
  <c r="AM21" i="1" a="1"/>
  <c r="AM21" i="1" s="1"/>
  <c r="J21" i="1" s="1"/>
  <c r="R8" i="1"/>
  <c r="AM13" i="1" a="1"/>
  <c r="AM13" i="1" s="1"/>
  <c r="J13" i="1" s="1"/>
  <c r="AM22" i="1" a="1"/>
  <c r="AM22" i="1" s="1"/>
  <c r="J22" i="1" s="1"/>
  <c r="AM17" i="1" a="1"/>
  <c r="AM17" i="1" s="1"/>
  <c r="J17" i="1" s="1"/>
  <c r="AM14" i="1" a="1"/>
  <c r="AM14" i="1" s="1"/>
  <c r="J14" i="1" s="1"/>
  <c r="AM18" i="1" a="1"/>
  <c r="AM18" i="1" s="1"/>
  <c r="J18" i="1" s="1"/>
  <c r="AM11" i="1" a="1"/>
  <c r="AM11" i="1" s="1"/>
  <c r="J11" i="1" s="1"/>
  <c r="AM20" i="1" a="1"/>
  <c r="AM20" i="1" s="1"/>
  <c r="J20" i="1" s="1"/>
  <c r="AM12" i="1" a="1"/>
  <c r="AM12" i="1" s="1"/>
  <c r="J12" i="1" s="1"/>
  <c r="AM16" i="1" a="1"/>
  <c r="AM16" i="1" s="1"/>
  <c r="J16" i="1" s="1"/>
  <c r="AM15" i="1" a="1"/>
  <c r="AM15" i="1" s="1"/>
  <c r="J15" i="1" s="1"/>
  <c r="AM19" i="1" a="1"/>
  <c r="AM19" i="1" s="1"/>
  <c r="J19" i="1" s="1"/>
  <c r="AM23" i="1" a="1"/>
  <c r="AM23" i="1" s="1"/>
  <c r="J23" i="1" s="1"/>
  <c r="L63" i="6" l="1"/>
  <c r="P63" i="6" s="1"/>
  <c r="L21" i="6"/>
  <c r="P21" i="6" s="1"/>
  <c r="L14" i="6"/>
  <c r="P14" i="6" s="1"/>
  <c r="L49" i="6"/>
  <c r="P49" i="6" s="1"/>
  <c r="L77" i="6"/>
  <c r="P77" i="6" s="1"/>
  <c r="L35" i="6"/>
  <c r="P35" i="6" s="1"/>
  <c r="K78" i="6"/>
  <c r="N78" i="6" s="1"/>
  <c r="J78" i="6"/>
  <c r="L28" i="6"/>
  <c r="P28" i="6" s="1"/>
  <c r="K29" i="6"/>
  <c r="N29" i="6" s="1"/>
  <c r="J29" i="6"/>
  <c r="L29" i="6" s="1"/>
  <c r="P29" i="6" s="1"/>
  <c r="J64" i="6"/>
  <c r="K64" i="6"/>
  <c r="N64" i="6" s="1"/>
  <c r="L84" i="6"/>
  <c r="P84" i="6" s="1"/>
  <c r="J43" i="6"/>
  <c r="K43" i="6"/>
  <c r="N43" i="6" s="1"/>
  <c r="K57" i="6"/>
  <c r="N57" i="6" s="1"/>
  <c r="J57" i="6"/>
  <c r="K8" i="6"/>
  <c r="J8" i="6"/>
  <c r="K85" i="6"/>
  <c r="N85" i="6" s="1"/>
  <c r="J85" i="6"/>
  <c r="J36" i="6"/>
  <c r="K36" i="6"/>
  <c r="N36" i="6" s="1"/>
  <c r="J71" i="6"/>
  <c r="K71" i="6"/>
  <c r="N71" i="6" s="1"/>
  <c r="J50" i="6"/>
  <c r="K50" i="6"/>
  <c r="N50" i="6" s="1"/>
  <c r="L56" i="6"/>
  <c r="P56" i="6" s="1"/>
  <c r="N56" i="6"/>
  <c r="K92" i="6"/>
  <c r="N92" i="6" s="1"/>
  <c r="J92" i="6"/>
  <c r="J15" i="6"/>
  <c r="K15" i="6"/>
  <c r="N15" i="6" s="1"/>
  <c r="L7" i="6"/>
  <c r="P7" i="6" s="1"/>
  <c r="K22" i="6"/>
  <c r="N22" i="6" s="1"/>
  <c r="J22" i="6"/>
  <c r="L91" i="6"/>
  <c r="P91" i="6" s="1"/>
  <c r="L78" i="6" l="1"/>
  <c r="P78" i="6" s="1"/>
  <c r="L15" i="6"/>
  <c r="P15" i="6" s="1"/>
  <c r="L22" i="6"/>
  <c r="P22" i="6" s="1"/>
  <c r="L64" i="6"/>
  <c r="P64" i="6" s="1"/>
  <c r="L71" i="6"/>
  <c r="P71" i="6" s="1"/>
  <c r="L85" i="6"/>
  <c r="P85" i="6" s="1"/>
  <c r="L8" i="6"/>
  <c r="P8" i="6" s="1"/>
  <c r="N8" i="6"/>
  <c r="L57" i="6"/>
  <c r="P57" i="6" s="1"/>
  <c r="L92" i="6"/>
  <c r="P92" i="6" s="1"/>
  <c r="L43" i="6"/>
  <c r="P43" i="6" s="1"/>
  <c r="L50" i="6"/>
  <c r="P50" i="6" s="1"/>
  <c r="L36" i="6"/>
  <c r="P36"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BC42875-2634-4A2E-8FB9-41165FE66845}" keepAlive="1" name="Query - tblWeeklyData" description="Connection to the 'tblWeeklyData' query in the workbook." type="5" refreshedVersion="7" background="1" saveData="1">
    <dbPr connection="Provider=Microsoft.Mashup.OleDb.1;Data Source=$Workbook$;Location=tblWeeklyData;Extended Properties=&quot;&quot;" command="SELECT * FROM [tblWeeklyData]"/>
  </connection>
  <connection id="2" xr16:uid="{6A168FB0-C1A4-44A8-BABF-3AA6AD1C7794}"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DAD1A0C4-B592-4823-ACD0-DD681C7DC974}" name="WorksheetConnection_EmployeeShiftManagement_Demo.xlsm!tblHistory" type="102" refreshedVersion="7" minRefreshableVersion="5">
    <extLst>
      <ext xmlns:x15="http://schemas.microsoft.com/office/spreadsheetml/2010/11/main" uri="{DE250136-89BD-433C-8126-D09CA5730AF9}">
        <x15:connection id="tblHistory" autoDelete="1">
          <x15:rangePr sourceName="_xlcn.WorksheetConnection_EmployeeShiftManagement_Demo.xlsmtblHistory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<sst xmlns="http://schemas.openxmlformats.org/spreadsheetml/2006/main" count="13386" uniqueCount="160">
  <si>
    <t>Public Holiday List</t>
  </si>
  <si>
    <t>You can add more public holiday following your country holiday. Column HOLIDAY is used on Sheet Schedule and tblWeeklyData.</t>
  </si>
  <si>
    <t>DAY</t>
  </si>
  <si>
    <t>MONTH</t>
  </si>
  <si>
    <t>YEAR</t>
  </si>
  <si>
    <t>HOLIDAY</t>
  </si>
  <si>
    <t>HOLIDAY_NAME</t>
  </si>
  <si>
    <t>New Year</t>
  </si>
  <si>
    <t>Some Random Name</t>
  </si>
  <si>
    <t>Christmas Eve</t>
  </si>
  <si>
    <t>Christmas</t>
  </si>
  <si>
    <t>New Year Eve</t>
  </si>
  <si>
    <t>Role</t>
  </si>
  <si>
    <t>RoleCategory</t>
  </si>
  <si>
    <t>StaffName</t>
  </si>
  <si>
    <t>FullPart</t>
  </si>
  <si>
    <t>HourlyRate</t>
  </si>
  <si>
    <t>MaxHourWeek</t>
  </si>
  <si>
    <t>MaxHour</t>
  </si>
  <si>
    <t>TotalHour</t>
  </si>
  <si>
    <t>PremiumShift</t>
  </si>
  <si>
    <t>PremShiftPercent</t>
  </si>
  <si>
    <t>TotalWage</t>
  </si>
  <si>
    <t>tblStaff: Staff List</t>
  </si>
  <si>
    <t>tblRefRole</t>
  </si>
  <si>
    <t>Assistant Chef</t>
  </si>
  <si>
    <t>Chef</t>
  </si>
  <si>
    <t>Assistant Manager</t>
  </si>
  <si>
    <t>Manager</t>
  </si>
  <si>
    <t>Server</t>
  </si>
  <si>
    <t>Store Manager</t>
  </si>
  <si>
    <t>ShiftCode</t>
  </si>
  <si>
    <t>ShiftType</t>
  </si>
  <si>
    <t>StartTime</t>
  </si>
  <si>
    <t>Hour</t>
  </si>
  <si>
    <t>M7_07:00_15:00</t>
  </si>
  <si>
    <t>Morning</t>
  </si>
  <si>
    <t>E7_15:00_23:00</t>
  </si>
  <si>
    <t>Evening</t>
  </si>
  <si>
    <t>M5_07:00_13:00</t>
  </si>
  <si>
    <t>E5_17:00_23:00</t>
  </si>
  <si>
    <t>OFF</t>
  </si>
  <si>
    <t>M8_10:00_19:00</t>
  </si>
  <si>
    <t>Mid Day</t>
  </si>
  <si>
    <t>E8_14:00_23:00</t>
  </si>
  <si>
    <t>M8_07:00_16:00</t>
  </si>
  <si>
    <t>A5_10:00_16:00</t>
  </si>
  <si>
    <t>Afternoon</t>
  </si>
  <si>
    <t>Jonh West</t>
  </si>
  <si>
    <t>Full Time</t>
  </si>
  <si>
    <t>David South</t>
  </si>
  <si>
    <t>Will North</t>
  </si>
  <si>
    <t>Jenna Gold</t>
  </si>
  <si>
    <t>Glenn Silver</t>
  </si>
  <si>
    <t>Oliver East</t>
  </si>
  <si>
    <t>Max Titanium</t>
  </si>
  <si>
    <t>Marcus Thompson</t>
  </si>
  <si>
    <t>Elena Rodriguez</t>
  </si>
  <si>
    <t>Julian Chen</t>
  </si>
  <si>
    <t>Sarah Jenkins</t>
  </si>
  <si>
    <t>Part Time</t>
  </si>
  <si>
    <t>Aaliyah Khan</t>
  </si>
  <si>
    <t>Leo Moretti</t>
  </si>
  <si>
    <t>EndTime</t>
  </si>
  <si>
    <t>Mon</t>
  </si>
  <si>
    <t>Tue</t>
  </si>
  <si>
    <t>Wed</t>
  </si>
  <si>
    <t>Thu</t>
  </si>
  <si>
    <t>Fri</t>
  </si>
  <si>
    <t>Sat</t>
  </si>
  <si>
    <t>Sun</t>
  </si>
  <si>
    <t>tblRefShift</t>
  </si>
  <si>
    <t>tblRefStoreManagerShift</t>
  </si>
  <si>
    <t>tblRefAssistantManagerShift</t>
  </si>
  <si>
    <t>tblRefChefShift</t>
  </si>
  <si>
    <t>tblRefAssistantChefShift</t>
  </si>
  <si>
    <t>tblRefServerShift</t>
  </si>
  <si>
    <t>ShiftID</t>
  </si>
  <si>
    <t>H_Mon</t>
  </si>
  <si>
    <t>H_Tue</t>
  </si>
  <si>
    <t>H_Wed</t>
  </si>
  <si>
    <t>H_Thu</t>
  </si>
  <si>
    <t>H_Fri</t>
  </si>
  <si>
    <t>H_Sat</t>
  </si>
  <si>
    <t>H_Sun</t>
  </si>
  <si>
    <t>LW_Sun</t>
  </si>
  <si>
    <t>CLOPEN_Mon</t>
  </si>
  <si>
    <t>CLOPEN_Tue</t>
  </si>
  <si>
    <t>CLOPEN_Wed</t>
  </si>
  <si>
    <t>CLOPEN_Thu</t>
  </si>
  <si>
    <t>CLOPEN_Fri</t>
  </si>
  <si>
    <t>CLOPEN_Sat</t>
  </si>
  <si>
    <t>CLOPEN_Sun</t>
  </si>
  <si>
    <t>Day:</t>
  </si>
  <si>
    <t>Month:</t>
  </si>
  <si>
    <t>Year:</t>
  </si>
  <si>
    <t>Report Date:</t>
  </si>
  <si>
    <t>Configurations</t>
  </si>
  <si>
    <t>sat_rate_multiplier</t>
  </si>
  <si>
    <t>sun_rate_multiplier</t>
  </si>
  <si>
    <t>holiday_rate_multiplier</t>
  </si>
  <si>
    <t>WAGE_Mon</t>
  </si>
  <si>
    <t>WAGE_Tue</t>
  </si>
  <si>
    <t>WAGE_Wed</t>
  </si>
  <si>
    <t>WAGE_Thu</t>
  </si>
  <si>
    <t>WAGE_Fri</t>
  </si>
  <si>
    <t>WAGE_Sat</t>
  </si>
  <si>
    <t>WAGE_Sun</t>
  </si>
  <si>
    <t>Staff Head Count Summary</t>
  </si>
  <si>
    <t>WeekDay</t>
  </si>
  <si>
    <t>Date</t>
  </si>
  <si>
    <t>IsWeekend</t>
  </si>
  <si>
    <t>IsHoliday</t>
  </si>
  <si>
    <t>HolidayOrWeekend</t>
  </si>
  <si>
    <t>WorkingHour</t>
  </si>
  <si>
    <t>Wage</t>
  </si>
  <si>
    <t>MaxHourPerDay</t>
  </si>
  <si>
    <t>NO</t>
  </si>
  <si>
    <t>YES</t>
  </si>
  <si>
    <t>Row Labels</t>
  </si>
  <si>
    <t>Grand Total</t>
  </si>
  <si>
    <t>Sum of PremiumShift</t>
  </si>
  <si>
    <t>HolidayWeekendCount</t>
  </si>
  <si>
    <t>Calculation</t>
  </si>
  <si>
    <t>holiday_weekend_count</t>
  </si>
  <si>
    <t>Note</t>
  </si>
  <si>
    <t>Color Code</t>
  </si>
  <si>
    <t>Remark</t>
  </si>
  <si>
    <t>Public Holiday Indicator</t>
  </si>
  <si>
    <t>Clopen Detection / Premium Shift over 75%</t>
  </si>
  <si>
    <t>Over Allowed Working Hour</t>
  </si>
  <si>
    <t>KPI Numbers</t>
  </si>
  <si>
    <t>Big Numbers on the Top of Dashboard Sheet.</t>
  </si>
  <si>
    <t>Distinct Count of StaffName</t>
  </si>
  <si>
    <t>Sum of WorkingHour</t>
  </si>
  <si>
    <t>Values</t>
  </si>
  <si>
    <t>Sum of Wage</t>
  </si>
  <si>
    <t>AvgWagePerHour</t>
  </si>
  <si>
    <t>Holiday or Weekend</t>
  </si>
  <si>
    <t>Daily Staffing Level by Weekday</t>
  </si>
  <si>
    <t>Bind to Area Chart on Dashboard Sheet. It shows the distribution of staff by Role Category from Mon to Sun.</t>
  </si>
  <si>
    <t>Staff Head Count vs Wage Distribution</t>
  </si>
  <si>
    <t>Bind to Donut Charts on Dashboard Sheet. It shows the staff count vs wage distribution by Role Category.</t>
  </si>
  <si>
    <t>Employee Working Hour vs Contract Hour</t>
  </si>
  <si>
    <t>Bind to Graph on Dashboard Sheet. It show the staff who exceeds the allowed working hour.</t>
  </si>
  <si>
    <t>SafeHour</t>
  </si>
  <si>
    <t>OvertimedHour</t>
  </si>
  <si>
    <t>Workload Percentage</t>
  </si>
  <si>
    <t>Bind to Graph on Dashboard Sheet. It shows the workload of each staff in percentage.</t>
  </si>
  <si>
    <t>WorkloadPercentSafe</t>
  </si>
  <si>
    <t>WorkloadPercentOvertimed</t>
  </si>
  <si>
    <t>Premium Shift Distribution</t>
  </si>
  <si>
    <t>Bind to Graph on Dashboard Sheet. It shows the Premium Shift vs the total holiday/weekend of the entire dataset.</t>
  </si>
  <si>
    <t>Total Wage by Role Category</t>
  </si>
  <si>
    <t>Bind to Graph on Dashboard Sheet. It shows the line graph of wage by Role Category.</t>
  </si>
  <si>
    <t>Pivot Table: Premium Shift by Employee</t>
  </si>
  <si>
    <t>This pivot table is used on tblSchedule to find Premium Shift of each employee. 
There is filter on Date column. Filter = This Year. It means the premium shift will be reset yearly.</t>
  </si>
  <si>
    <t>Total Premium Shift</t>
  </si>
  <si>
    <t>Moderate</t>
  </si>
  <si>
    <t>Frequent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</si>
</sst>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quot;$&quot;* #,##0.00_-;_-&quot;$&quot;* &quot;-&quot;??_-;_-@_-"/>
    <numFmt numFmtId="164" formatCode="yyyy\-mm\-dd"/>
    <numFmt numFmtId="165" formatCode="hh:mm"/>
    <numFmt numFmtId="166" formatCode="dd"/>
    <numFmt numFmtId="167" formatCode="_-* #,##0_-;\-* #,##0_-;_-* &quot;-&quot;??_-;_-@_-"/>
  </numFmts>
  <fonts count="14" x14ac:knownFonts="1">
    <font>
      <sz val="11"/>
      <color theme="1"/>
      <name val="Aptos Narrow"/>
      <family val="2"/>
      <scheme val="minor"/>
    </font>
    <font>
      <b/>
      <sz val="24"/>
      <color theme="1"/>
      <name val="Aptos Narrow"/>
      <family val="2"/>
      <scheme val="minor"/>
    </font>
    <font>
      <i/>
      <sz val="11"/>
      <color theme="1"/>
      <name val="Aptos Narrow"/>
      <family val="2"/>
      <scheme val="minor"/>
    </font>
    <font>
      <sz val="11"/>
      <color theme="1"/>
      <name val="Aptos Narrow"/>
      <family val="2"/>
      <scheme val="minor"/>
    </font>
    <font>
      <b/>
      <sz val="13"/>
      <color theme="3"/>
      <name val="Aptos Narrow"/>
      <family val="2"/>
      <scheme val="minor"/>
    </font>
    <font>
      <b/>
      <sz val="11"/>
      <color theme="1"/>
      <name val="Aptos Narrow"/>
      <family val="2"/>
      <scheme val="minor"/>
    </font>
    <font>
      <sz val="11"/>
      <color theme="0"/>
      <name val="Aptos Narrow"/>
      <family val="2"/>
      <scheme val="minor"/>
    </font>
    <font>
      <b/>
      <sz val="15"/>
      <color theme="3"/>
      <name val="Aptos Narrow"/>
      <family val="2"/>
      <scheme val="minor"/>
    </font>
    <font>
      <b/>
      <sz val="11"/>
      <color theme="0"/>
      <name val="Aptos Narrow"/>
      <family val="2"/>
      <scheme val="minor"/>
    </font>
    <font>
      <sz val="8"/>
      <name val="Aptos Narrow"/>
      <family val="2"/>
      <scheme val="minor"/>
    </font>
    <font>
      <sz val="11"/>
      <color rgb="FF3F3F76"/>
      <name val="Aptos Narrow"/>
      <family val="2"/>
      <scheme val="minor"/>
    </font>
    <font>
      <b/>
      <sz val="11"/>
      <color rgb="FF3F3F3F"/>
      <name val="Aptos Narrow"/>
      <family val="2"/>
      <scheme val="minor"/>
    </font>
    <font>
      <i/>
      <sz val="11"/>
      <color rgb="FF7F7F7F"/>
      <name val="Aptos Narrow"/>
      <family val="2"/>
      <scheme val="minor"/>
    </font>
    <font>
      <sz val="11"/>
      <color rgb="FFC00000"/>
      <name val="Aptos Narrow"/>
      <family val="2"/>
      <scheme val="minor"/>
    </font>
  </fonts>
  <fills count="16">
    <fill>
      <patternFill patternType="none"/>
    </fill>
    <fill>
      <patternFill patternType="gray125"/>
    </fill>
    <fill>
      <patternFill patternType="solid">
        <fgColor rgb="FFFFC000"/>
        <bgColor indexed="64"/>
      </patternFill>
    </fill>
    <fill>
      <patternFill patternType="solid">
        <fgColor rgb="FFFFFFCC"/>
      </patternFill>
    </fill>
    <fill>
      <patternFill patternType="solid">
        <fgColor theme="5"/>
      </patternFill>
    </fill>
    <fill>
      <patternFill patternType="solid">
        <fgColor theme="4"/>
        <bgColor theme="4"/>
      </patternFill>
    </fill>
    <fill>
      <patternFill patternType="solid">
        <fgColor theme="7"/>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CC99"/>
      </patternFill>
    </fill>
    <fill>
      <patternFill patternType="solid">
        <fgColor rgb="FFF2F2F2"/>
      </patternFill>
    </fill>
    <fill>
      <patternFill patternType="solid">
        <fgColor rgb="FFC00000"/>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tint="0.79998168889431442"/>
        <bgColor indexed="64"/>
      </patternFill>
    </fill>
  </fills>
  <borders count="20">
    <border>
      <left/>
      <right/>
      <top/>
      <bottom/>
      <diagonal/>
    </border>
    <border>
      <left/>
      <right/>
      <top/>
      <bottom style="thick">
        <color theme="4" tint="0.499984740745262"/>
      </bottom>
      <diagonal/>
    </border>
    <border>
      <left style="thin">
        <color rgb="FFB2B2B2"/>
      </left>
      <right style="thin">
        <color rgb="FFB2B2B2"/>
      </right>
      <top style="thin">
        <color rgb="FFB2B2B2"/>
      </top>
      <bottom style="thin">
        <color rgb="FFB2B2B2"/>
      </bottom>
      <diagonal/>
    </border>
    <border>
      <left style="thin">
        <color rgb="FFB2B2B2"/>
      </left>
      <right/>
      <top style="thin">
        <color rgb="FFB2B2B2"/>
      </top>
      <bottom/>
      <diagonal/>
    </border>
    <border>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right/>
      <top/>
      <bottom style="thick">
        <color theme="4"/>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theme="4" tint="0.39997558519241921"/>
      </left>
      <right style="thin">
        <color theme="4" tint="0.39997558519241921"/>
      </right>
      <top/>
      <bottom style="thin">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style="thin">
        <color theme="4" tint="0.39997558519241921"/>
      </right>
      <top style="thin">
        <color theme="4" tint="0.39997558519241921"/>
      </top>
      <bottom style="thin">
        <color theme="4" tint="0.39997558519241921"/>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auto="1"/>
      </left>
      <right style="hair">
        <color auto="1"/>
      </right>
      <top style="hair">
        <color auto="1"/>
      </top>
      <bottom style="hair">
        <color auto="1"/>
      </bottom>
      <diagonal/>
    </border>
  </borders>
  <cellStyleXfs count="11">
    <xf numFmtId="0" fontId="0" fillId="0" borderId="0"/>
    <xf numFmtId="0" fontId="4" fillId="0" borderId="1" applyNumberFormat="0" applyFill="0" applyAlignment="0" applyProtection="0"/>
    <xf numFmtId="0" fontId="3" fillId="3" borderId="2" applyNumberFormat="0" applyFont="0" applyAlignment="0" applyProtection="0"/>
    <xf numFmtId="0" fontId="6" fillId="4" borderId="0" applyNumberFormat="0" applyBorder="0" applyAlignment="0" applyProtection="0"/>
    <xf numFmtId="0" fontId="7" fillId="0" borderId="9" applyNumberFormat="0" applyFill="0" applyAlignment="0" applyProtection="0"/>
    <xf numFmtId="0" fontId="6" fillId="6" borderId="0" applyNumberFormat="0" applyBorder="0" applyAlignment="0" applyProtection="0"/>
    <xf numFmtId="44" fontId="3" fillId="0" borderId="0" applyFont="0" applyFill="0" applyBorder="0" applyAlignment="0" applyProtection="0"/>
    <xf numFmtId="9" fontId="3" fillId="0" borderId="0" applyFont="0" applyFill="0" applyBorder="0" applyAlignment="0" applyProtection="0"/>
    <xf numFmtId="0" fontId="10" fillId="9" borderId="15" applyNumberFormat="0" applyAlignment="0" applyProtection="0"/>
    <xf numFmtId="0" fontId="11" fillId="10" borderId="16" applyNumberFormat="0" applyAlignment="0" applyProtection="0"/>
    <xf numFmtId="0" fontId="12" fillId="0" borderId="0" applyNumberFormat="0" applyFill="0" applyBorder="0" applyAlignment="0" applyProtection="0"/>
  </cellStyleXfs>
  <cellXfs count="68">
    <xf numFmtId="0" fontId="0" fillId="0" borderId="0" xfId="0"/>
    <xf numFmtId="0" fontId="0" fillId="2" borderId="0" xfId="0" applyFill="1"/>
    <xf numFmtId="0" fontId="1" fillId="2" borderId="0" xfId="0" applyFont="1" applyFill="1" applyAlignment="1">
      <alignment vertical="center"/>
    </xf>
    <xf numFmtId="0" fontId="0" fillId="2" borderId="0" xfId="0" applyFill="1" applyAlignment="1">
      <alignment vertical="center"/>
    </xf>
    <xf numFmtId="0" fontId="2" fillId="2" borderId="0" xfId="0" applyFont="1" applyFill="1" applyAlignment="1">
      <alignment vertical="center"/>
    </xf>
    <xf numFmtId="0" fontId="4" fillId="0" borderId="1" xfId="1"/>
    <xf numFmtId="0" fontId="5" fillId="0" borderId="0" xfId="0" applyFont="1"/>
    <xf numFmtId="0" fontId="6" fillId="4" borderId="0" xfId="3"/>
    <xf numFmtId="164" fontId="0" fillId="0" borderId="0" xfId="0" applyNumberFormat="1"/>
    <xf numFmtId="0" fontId="7" fillId="0" borderId="9" xfId="4"/>
    <xf numFmtId="0" fontId="8" fillId="5" borderId="10" xfId="0" applyFont="1" applyFill="1" applyBorder="1"/>
    <xf numFmtId="0" fontId="8" fillId="5" borderId="11" xfId="0" applyFont="1" applyFill="1" applyBorder="1"/>
    <xf numFmtId="165" fontId="0" fillId="0" borderId="0" xfId="0" applyNumberFormat="1"/>
    <xf numFmtId="0" fontId="0" fillId="0" borderId="12" xfId="0" applyBorder="1"/>
    <xf numFmtId="0" fontId="8" fillId="5" borderId="14" xfId="0" applyFont="1" applyFill="1" applyBorder="1"/>
    <xf numFmtId="0" fontId="0" fillId="0" borderId="13" xfId="0" applyBorder="1"/>
    <xf numFmtId="0" fontId="0" fillId="7" borderId="0" xfId="0" applyFill="1"/>
    <xf numFmtId="0" fontId="0" fillId="8" borderId="0" xfId="0" applyFill="1"/>
    <xf numFmtId="0" fontId="6" fillId="6" borderId="0" xfId="5"/>
    <xf numFmtId="0" fontId="12" fillId="0" borderId="0" xfId="10" applyAlignment="1">
      <alignment horizontal="right" indent="1"/>
    </xf>
    <xf numFmtId="0" fontId="10" fillId="9" borderId="15" xfId="8" applyAlignment="1"/>
    <xf numFmtId="0" fontId="12" fillId="0" borderId="0" xfId="10"/>
    <xf numFmtId="4" fontId="10" fillId="9" borderId="15" xfId="8" applyNumberFormat="1"/>
    <xf numFmtId="164" fontId="11" fillId="10" borderId="16" xfId="9" applyNumberFormat="1"/>
    <xf numFmtId="14" fontId="0" fillId="0" borderId="0" xfId="0" applyNumberFormat="1"/>
    <xf numFmtId="0" fontId="0" fillId="0" borderId="0" xfId="0" applyAlignment="1">
      <alignment horizontal="center" vertical="center"/>
    </xf>
    <xf numFmtId="0" fontId="0" fillId="12" borderId="0" xfId="0" applyFill="1"/>
    <xf numFmtId="164" fontId="0" fillId="12" borderId="0" xfId="0" applyNumberFormat="1" applyFill="1"/>
    <xf numFmtId="44" fontId="0" fillId="0" borderId="0" xfId="6" applyFont="1"/>
    <xf numFmtId="0" fontId="5" fillId="0" borderId="18" xfId="0" applyFont="1" applyBorder="1"/>
    <xf numFmtId="0" fontId="0" fillId="0" borderId="18" xfId="0" applyBorder="1" applyAlignment="1">
      <alignment horizontal="left" indent="1"/>
    </xf>
    <xf numFmtId="0" fontId="8" fillId="5" borderId="12" xfId="0" applyFont="1" applyFill="1" applyBorder="1" applyAlignment="1">
      <alignment horizontal="center" vertical="center"/>
    </xf>
    <xf numFmtId="0" fontId="0" fillId="0" borderId="18" xfId="0" applyBorder="1"/>
    <xf numFmtId="0" fontId="0" fillId="0" borderId="18" xfId="0" applyBorder="1" applyAlignment="1">
      <alignment horizontal="center" vertical="center"/>
    </xf>
    <xf numFmtId="0" fontId="8" fillId="5" borderId="17" xfId="0" applyFont="1" applyFill="1"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10" fillId="9" borderId="15" xfId="8"/>
    <xf numFmtId="9" fontId="0" fillId="0" borderId="0" xfId="7" applyFont="1"/>
    <xf numFmtId="0" fontId="5" fillId="0" borderId="0" xfId="0" applyFont="1" applyAlignment="1">
      <alignment horizontal="left" indent="1"/>
    </xf>
    <xf numFmtId="0" fontId="0" fillId="14" borderId="0" xfId="0" applyFill="1"/>
    <xf numFmtId="0" fontId="0" fillId="11" borderId="0" xfId="0" applyFill="1"/>
    <xf numFmtId="0" fontId="0" fillId="13" borderId="0" xfId="0" applyFill="1"/>
    <xf numFmtId="44" fontId="0" fillId="0" borderId="0" xfId="0" applyNumberFormat="1"/>
    <xf numFmtId="167" fontId="0" fillId="0" borderId="0" xfId="0" applyNumberFormat="1"/>
    <xf numFmtId="9" fontId="0" fillId="0" borderId="0" xfId="0" applyNumberFormat="1"/>
    <xf numFmtId="4" fontId="4" fillId="0" borderId="1" xfId="1" applyNumberFormat="1"/>
    <xf numFmtId="4" fontId="0" fillId="0" borderId="0" xfId="0" applyNumberFormat="1"/>
    <xf numFmtId="14" fontId="0" fillId="0" borderId="0" xfId="0" applyNumberFormat="1" applyAlignment="1">
      <alignment horizontal="left"/>
    </xf>
    <xf numFmtId="17" fontId="0" fillId="0" borderId="19" xfId="0" applyNumberFormat="1" applyBorder="1" applyAlignment="1">
      <alignment horizontal="center" vertical="center"/>
    </xf>
    <xf numFmtId="166" fontId="0" fillId="0" borderId="19" xfId="0" applyNumberFormat="1" applyBorder="1" applyAlignment="1">
      <alignment horizontal="center" vertical="center"/>
    </xf>
    <xf numFmtId="0" fontId="13" fillId="15" borderId="0" xfId="0" applyFont="1" applyFill="1" applyAlignment="1">
      <alignment horizontal="center" vertical="center"/>
    </xf>
    <xf numFmtId="0" fontId="0" fillId="3" borderId="2" xfId="2" applyFont="1" applyAlignment="1">
      <alignment horizontal="left" vertical="center" wrapText="1"/>
    </xf>
    <xf numFmtId="0" fontId="0" fillId="3" borderId="3" xfId="2" applyFont="1" applyBorder="1" applyAlignment="1">
      <alignment horizontal="left" vertical="center" wrapText="1"/>
    </xf>
    <xf numFmtId="0" fontId="0" fillId="3" borderId="4" xfId="2" applyFont="1" applyBorder="1" applyAlignment="1">
      <alignment horizontal="left" vertical="center" wrapText="1"/>
    </xf>
    <xf numFmtId="0" fontId="0" fillId="3" borderId="5" xfId="2" applyFont="1" applyBorder="1" applyAlignment="1">
      <alignment horizontal="left" vertical="center" wrapText="1"/>
    </xf>
    <xf numFmtId="0" fontId="0" fillId="3" borderId="6" xfId="2" applyFont="1" applyBorder="1" applyAlignment="1">
      <alignment horizontal="left" vertical="center" wrapText="1"/>
    </xf>
    <xf numFmtId="0" fontId="0" fillId="3" borderId="7" xfId="2" applyFont="1" applyBorder="1" applyAlignment="1">
      <alignment horizontal="left" vertical="center" wrapText="1"/>
    </xf>
    <xf numFmtId="0" fontId="0" fillId="3" borderId="8" xfId="2" applyFont="1" applyBorder="1" applyAlignment="1">
      <alignment horizontal="left" vertical="center" wrapText="1"/>
    </xf>
    <xf numFmtId="0" fontId="0" fillId="3" borderId="3" xfId="2" applyFont="1" applyBorder="1" applyAlignment="1">
      <alignment horizontal="left" vertical="top" wrapText="1"/>
    </xf>
    <xf numFmtId="0" fontId="0" fillId="3" borderId="4" xfId="2" applyFont="1" applyBorder="1" applyAlignment="1">
      <alignment horizontal="left" vertical="top" wrapText="1"/>
    </xf>
    <xf numFmtId="0" fontId="0" fillId="3" borderId="5" xfId="2" applyFont="1" applyBorder="1" applyAlignment="1">
      <alignment horizontal="left" vertical="top" wrapText="1"/>
    </xf>
    <xf numFmtId="0" fontId="0" fillId="3" borderId="6" xfId="2" applyFont="1" applyBorder="1" applyAlignment="1">
      <alignment horizontal="left" vertical="top" wrapText="1"/>
    </xf>
    <xf numFmtId="0" fontId="0" fillId="3" borderId="7" xfId="2" applyFont="1" applyBorder="1" applyAlignment="1">
      <alignment horizontal="left" vertical="top" wrapText="1"/>
    </xf>
    <xf numFmtId="0" fontId="0" fillId="3" borderId="8" xfId="2" applyFont="1" applyBorder="1" applyAlignment="1">
      <alignment horizontal="left" vertical="top" wrapText="1"/>
    </xf>
    <xf numFmtId="0" fontId="0" fillId="3" borderId="2" xfId="2" applyFont="1" applyAlignment="1">
      <alignment horizontal="left" vertical="top" wrapText="1"/>
    </xf>
    <xf numFmtId="0" fontId="0" fillId="0" borderId="0" xfId="0" applyNumberFormat="1"/>
  </cellXfs>
  <cellStyles count="11">
    <cellStyle name="Accent2" xfId="3" builtinId="33"/>
    <cellStyle name="Accent4" xfId="5" builtinId="41"/>
    <cellStyle name="Currency" xfId="6" builtinId="4"/>
    <cellStyle name="Explanatory Text" xfId="10" builtinId="53"/>
    <cellStyle name="Heading 1" xfId="4" builtinId="16"/>
    <cellStyle name="Heading 2" xfId="1" builtinId="17"/>
    <cellStyle name="Input" xfId="8" builtinId="20"/>
    <cellStyle name="Normal" xfId="0" builtinId="0"/>
    <cellStyle name="Note" xfId="2" builtinId="10"/>
    <cellStyle name="Output" xfId="9" builtinId="21"/>
    <cellStyle name="Percent" xfId="7" builtinId="5"/>
  </cellStyles>
  <dxfs count="73">
    <dxf>
      <numFmt numFmtId="13" formatCode="0%"/>
    </dxf>
    <dxf>
      <numFmt numFmtId="14" formatCode="0.00%"/>
    </dxf>
    <dxf>
      <numFmt numFmtId="167" formatCode="_-* #,##0_-;\-* #,##0_-;_-* &quot;-&quot;??_-;_-@_-"/>
    </dxf>
    <dxf>
      <numFmt numFmtId="13" formatCode="0%"/>
    </dxf>
    <dxf>
      <numFmt numFmtId="13" formatCode="0%"/>
    </dxf>
    <dxf>
      <numFmt numFmtId="34" formatCode="_-&quot;$&quot;* #,##0.00_-;\-&quot;$&quot;* #,##0.00_-;_-&quot;$&quot;* &quot;-&quot;??_-;_-@_-"/>
    </dxf>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yyyy\-mm\-dd"/>
    </dxf>
    <dxf>
      <font>
        <b/>
      </font>
      <border diagonalUp="0" diagonalDown="0">
        <left style="hair">
          <color theme="0" tint="-0.499984740745262"/>
        </left>
        <right style="hair">
          <color theme="0" tint="-0.499984740745262"/>
        </right>
        <top/>
        <bottom/>
        <vertical style="hair">
          <color theme="0" tint="-0.499984740745262"/>
        </vertical>
        <horizontal style="hair">
          <color theme="0" tint="-0.499984740745262"/>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165" formatCode="hh:mm"/>
    </dxf>
    <dxf>
      <numFmt numFmtId="165" formatCode="hh:mm"/>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fill>
        <patternFill patternType="solid">
          <fgColor indexed="64"/>
          <bgColor theme="0" tint="-0.14999847407452621"/>
        </patternFill>
      </fill>
    </dxf>
    <dxf>
      <numFmt numFmtId="13" formatCode="0%"/>
    </dxf>
    <dxf>
      <numFmt numFmtId="0" formatCode="General"/>
      <alignment horizontal="center" vertical="center" textRotation="0" wrapText="0" indent="0" justifyLastLine="0" shrinkToFit="0" readingOrder="0"/>
    </dxf>
    <dxf>
      <numFmt numFmtId="0" formatCode="General"/>
    </dxf>
    <dxf>
      <numFmt numFmtId="0" formatCode="General"/>
    </dxf>
    <dxf>
      <numFmt numFmtId="0" formatCode="General"/>
    </dxf>
    <dxf>
      <fill>
        <patternFill>
          <bgColor theme="5" tint="0.59996337778862885"/>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ill>
        <patternFill>
          <bgColor rgb="FF92D050"/>
        </patternFill>
      </fill>
    </dxf>
    <dxf>
      <fill>
        <patternFill>
          <bgColor rgb="FF92D050"/>
        </patternFill>
      </fill>
    </dxf>
    <dxf>
      <fill>
        <patternFill>
          <bgColor theme="5" tint="0.59996337778862885"/>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26" Type="http://schemas.openxmlformats.org/officeDocument/2006/relationships/theme" Target="theme/theme1.xml"/><Relationship Id="rId39" Type="http://schemas.openxmlformats.org/officeDocument/2006/relationships/customXml" Target="../customXml/item7.xml"/><Relationship Id="rId21" Type="http://schemas.microsoft.com/office/2007/relationships/slicerCache" Target="slicerCaches/slicerCache3.xml"/><Relationship Id="rId34" Type="http://schemas.openxmlformats.org/officeDocument/2006/relationships/customXml" Target="../customXml/item2.xml"/><Relationship Id="rId42" Type="http://schemas.openxmlformats.org/officeDocument/2006/relationships/customXml" Target="../customXml/item10.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microsoft.com/office/2007/relationships/slicerCache" Target="slicerCaches/slicerCache4.xml"/><Relationship Id="rId32" Type="http://schemas.openxmlformats.org/officeDocument/2006/relationships/calcChain" Target="calcChain.xml"/><Relationship Id="rId37" Type="http://schemas.openxmlformats.org/officeDocument/2006/relationships/customXml" Target="../customXml/item5.xml"/><Relationship Id="rId40" Type="http://schemas.openxmlformats.org/officeDocument/2006/relationships/customXml" Target="../customXml/item8.xml"/><Relationship Id="rId45"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microsoft.com/office/2011/relationships/timelineCache" Target="timelineCaches/timelineCache1.xml"/><Relationship Id="rId28" Type="http://schemas.openxmlformats.org/officeDocument/2006/relationships/styles" Target="styles.xml"/><Relationship Id="rId36" Type="http://schemas.openxmlformats.org/officeDocument/2006/relationships/customXml" Target="../customXml/item4.xml"/><Relationship Id="rId10" Type="http://schemas.openxmlformats.org/officeDocument/2006/relationships/pivotCacheDefinition" Target="pivotCache/pivotCacheDefinition1.xml"/><Relationship Id="rId19" Type="http://schemas.microsoft.com/office/2007/relationships/slicerCache" Target="slicerCaches/slicerCache1.xml"/><Relationship Id="rId31" Type="http://schemas.openxmlformats.org/officeDocument/2006/relationships/powerPivotData" Target="model/item.data"/><Relationship Id="rId44"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0.xml"/><Relationship Id="rId27" Type="http://schemas.openxmlformats.org/officeDocument/2006/relationships/connections" Target="connections.xml"/><Relationship Id="rId30" Type="http://schemas.openxmlformats.org/officeDocument/2006/relationships/sheetMetadata" Target="metadata.xml"/><Relationship Id="rId35" Type="http://schemas.openxmlformats.org/officeDocument/2006/relationships/customXml" Target="../customXml/item3.xml"/><Relationship Id="rId43" Type="http://schemas.openxmlformats.org/officeDocument/2006/relationships/customXml" Target="../customXml/item1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microsoft.com/office/2007/relationships/slicerCache" Target="slicerCaches/slicerCache5.xml"/><Relationship Id="rId33" Type="http://schemas.openxmlformats.org/officeDocument/2006/relationships/customXml" Target="../customXml/item1.xml"/><Relationship Id="rId38" Type="http://schemas.openxmlformats.org/officeDocument/2006/relationships/customXml" Target="../customXml/item6.xml"/><Relationship Id="rId46" Type="http://schemas.microsoft.com/office/2006/relationships/vbaProject" Target="vbaProject.bin"/><Relationship Id="rId20" Type="http://schemas.microsoft.com/office/2007/relationships/slicerCache" Target="slicerCaches/slicerCache2.xml"/><Relationship Id="rId41" Type="http://schemas.openxmlformats.org/officeDocument/2006/relationships/customXml" Target="../customXml/item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[EmployeeShiftManagement_Demo.xlsm]Pivot!pvDailyStaffingLevel</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Daily Staffing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percentStacked"/>
        <c:varyColors val="0"/>
        <c:ser>
          <c:idx val="0"/>
          <c:order val="0"/>
          <c:tx>
            <c:strRef>
              <c:f>Pivot!$C$23:$C$24</c:f>
              <c:strCache>
                <c:ptCount val="1"/>
                <c:pt idx="0">
                  <c:v>Chef</c:v>
                </c:pt>
              </c:strCache>
            </c:strRef>
          </c:tx>
          <c:spPr>
            <a:solidFill>
              <a:schemeClr val="accent1"/>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Pivot!$B$25:$B$31</c:f>
              <c:strCache>
                <c:ptCount val="7"/>
                <c:pt idx="0">
                  <c:v>Mon</c:v>
                </c:pt>
                <c:pt idx="1">
                  <c:v>Tue</c:v>
                </c:pt>
                <c:pt idx="2">
                  <c:v>Wed</c:v>
                </c:pt>
                <c:pt idx="3">
                  <c:v>Thu</c:v>
                </c:pt>
                <c:pt idx="4">
                  <c:v>Fri</c:v>
                </c:pt>
                <c:pt idx="5">
                  <c:v>Sat</c:v>
                </c:pt>
                <c:pt idx="6">
                  <c:v>Sun</c:v>
                </c:pt>
              </c:strCache>
            </c:strRef>
          </c:cat>
          <c:val>
            <c:numRef>
              <c:f>Pivot!$C$25:$C$31</c:f>
              <c:numCache>
                <c:formatCode>0%</c:formatCode>
                <c:ptCount val="7"/>
                <c:pt idx="0">
                  <c:v>0.375</c:v>
                </c:pt>
                <c:pt idx="1">
                  <c:v>0.33476394849785407</c:v>
                </c:pt>
                <c:pt idx="2">
                  <c:v>0.39344262295081966</c:v>
                </c:pt>
                <c:pt idx="3">
                  <c:v>0.38341968911917096</c:v>
                </c:pt>
                <c:pt idx="4">
                  <c:v>0.27645788336933047</c:v>
                </c:pt>
                <c:pt idx="5">
                  <c:v>0.28247162673392184</c:v>
                </c:pt>
                <c:pt idx="6">
                  <c:v>0.30559345156889495</c:v>
                </c:pt>
              </c:numCache>
            </c:numRef>
          </c:val>
          <c:extLst>
            <c:ext xmlns:c16="http://schemas.microsoft.com/office/drawing/2014/chart" uri="{C3380CC4-5D6E-409C-BE32-E72D297353CC}">
              <c16:uniqueId val="{0000000D-F874-4431-A6F0-FC5687169D9D}"/>
            </c:ext>
          </c:extLst>
        </c:ser>
        <c:ser>
          <c:idx val="1"/>
          <c:order val="1"/>
          <c:tx>
            <c:strRef>
              <c:f>Pivot!$D$23:$D$24</c:f>
              <c:strCache>
                <c:ptCount val="1"/>
                <c:pt idx="0">
                  <c:v>Manager</c:v>
                </c:pt>
              </c:strCache>
            </c:strRef>
          </c:tx>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Pivot!$B$25:$B$31</c:f>
              <c:strCache>
                <c:ptCount val="7"/>
                <c:pt idx="0">
                  <c:v>Mon</c:v>
                </c:pt>
                <c:pt idx="1">
                  <c:v>Tue</c:v>
                </c:pt>
                <c:pt idx="2">
                  <c:v>Wed</c:v>
                </c:pt>
                <c:pt idx="3">
                  <c:v>Thu</c:v>
                </c:pt>
                <c:pt idx="4">
                  <c:v>Fri</c:v>
                </c:pt>
                <c:pt idx="5">
                  <c:v>Sat</c:v>
                </c:pt>
                <c:pt idx="6">
                  <c:v>Sun</c:v>
                </c:pt>
              </c:strCache>
            </c:strRef>
          </c:cat>
          <c:val>
            <c:numRef>
              <c:f>Pivot!$D$25:$D$31</c:f>
              <c:numCache>
                <c:formatCode>0%</c:formatCode>
                <c:ptCount val="7"/>
                <c:pt idx="0">
                  <c:v>0.21875</c:v>
                </c:pt>
                <c:pt idx="1">
                  <c:v>0.23819742489270387</c:v>
                </c:pt>
                <c:pt idx="2">
                  <c:v>0.20428751576292559</c:v>
                </c:pt>
                <c:pt idx="3">
                  <c:v>0.25388601036269431</c:v>
                </c:pt>
                <c:pt idx="4">
                  <c:v>0.30237580993520519</c:v>
                </c:pt>
                <c:pt idx="5">
                  <c:v>0.32156368221941994</c:v>
                </c:pt>
                <c:pt idx="6">
                  <c:v>0.286493860845839</c:v>
                </c:pt>
              </c:numCache>
            </c:numRef>
          </c:val>
          <c:extLst>
            <c:ext xmlns:c16="http://schemas.microsoft.com/office/drawing/2014/chart" uri="{C3380CC4-5D6E-409C-BE32-E72D297353CC}">
              <c16:uniqueId val="{00000001-BFF7-4BB9-812F-F5E377E10218}"/>
            </c:ext>
          </c:extLst>
        </c:ser>
        <c:ser>
          <c:idx val="2"/>
          <c:order val="2"/>
          <c:tx>
            <c:strRef>
              <c:f>Pivot!$E$23:$E$24</c:f>
              <c:strCache>
                <c:ptCount val="1"/>
                <c:pt idx="0">
                  <c:v>Server</c:v>
                </c:pt>
              </c:strCache>
            </c:strRef>
          </c:tx>
          <c:spPr>
            <a:solidFill>
              <a:schemeClr val="accent3"/>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Pivot!$B$25:$B$31</c:f>
              <c:strCache>
                <c:ptCount val="7"/>
                <c:pt idx="0">
                  <c:v>Mon</c:v>
                </c:pt>
                <c:pt idx="1">
                  <c:v>Tue</c:v>
                </c:pt>
                <c:pt idx="2">
                  <c:v>Wed</c:v>
                </c:pt>
                <c:pt idx="3">
                  <c:v>Thu</c:v>
                </c:pt>
                <c:pt idx="4">
                  <c:v>Fri</c:v>
                </c:pt>
                <c:pt idx="5">
                  <c:v>Sat</c:v>
                </c:pt>
                <c:pt idx="6">
                  <c:v>Sun</c:v>
                </c:pt>
              </c:strCache>
            </c:strRef>
          </c:cat>
          <c:val>
            <c:numRef>
              <c:f>Pivot!$E$25:$E$31</c:f>
              <c:numCache>
                <c:formatCode>0%</c:formatCode>
                <c:ptCount val="7"/>
                <c:pt idx="0">
                  <c:v>0.40625</c:v>
                </c:pt>
                <c:pt idx="1">
                  <c:v>0.42703862660944208</c:v>
                </c:pt>
                <c:pt idx="2">
                  <c:v>0.40226986128625475</c:v>
                </c:pt>
                <c:pt idx="3">
                  <c:v>0.36269430051813473</c:v>
                </c:pt>
                <c:pt idx="4">
                  <c:v>0.42116630669546434</c:v>
                </c:pt>
                <c:pt idx="5">
                  <c:v>0.39596469104665827</c:v>
                </c:pt>
                <c:pt idx="6">
                  <c:v>0.40791268758526605</c:v>
                </c:pt>
              </c:numCache>
            </c:numRef>
          </c:val>
          <c:extLst>
            <c:ext xmlns:c16="http://schemas.microsoft.com/office/drawing/2014/chart" uri="{C3380CC4-5D6E-409C-BE32-E72D297353CC}">
              <c16:uniqueId val="{00000002-BFF7-4BB9-812F-F5E377E10218}"/>
            </c:ext>
          </c:extLst>
        </c:ser>
        <c:dLbls>
          <c:showLegendKey val="0"/>
          <c:showVal val="1"/>
          <c:showCatName val="0"/>
          <c:showSerName val="0"/>
          <c:showPercent val="0"/>
          <c:showBubbleSize val="0"/>
        </c:dLbls>
        <c:axId val="253404863"/>
        <c:axId val="253405279"/>
      </c:areaChart>
      <c:catAx>
        <c:axId val="2534048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405279"/>
        <c:crosses val="autoZero"/>
        <c:auto val="1"/>
        <c:lblAlgn val="ctr"/>
        <c:lblOffset val="100"/>
        <c:noMultiLvlLbl val="0"/>
      </c:catAx>
      <c:valAx>
        <c:axId val="253405279"/>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2534048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[EmployeeShiftManagement_Demo.xlsm]Pivot!pvStaffHeadCountWageDistribution</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Head Count vs Wage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Pivot!$I$23</c:f>
              <c:strCache>
                <c:ptCount val="1"/>
                <c:pt idx="0">
                  <c:v>Sum of Wage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B63-4BB5-BE6B-AEAA2F911CE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B63-4BB5-BE6B-AEAA2F911CE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B63-4BB5-BE6B-AEAA2F911CE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Pivot!$H$24:$H$26</c:f>
              <c:strCache>
                <c:ptCount val="3"/>
                <c:pt idx="0">
                  <c:v>Chef</c:v>
                </c:pt>
                <c:pt idx="1">
                  <c:v>Manager</c:v>
                </c:pt>
                <c:pt idx="2">
                  <c:v>Server</c:v>
                </c:pt>
              </c:strCache>
            </c:strRef>
          </c:cat>
          <c:val>
            <c:numRef>
              <c:f>Pivot!$I$24:$I$26</c:f>
              <c:numCache>
                <c:formatCode>0%</c:formatCode>
                <c:ptCount val="3"/>
                <c:pt idx="0">
                  <c:v>0.41599574478373347</c:v>
                </c:pt>
                <c:pt idx="1">
                  <c:v>0.28474891806290953</c:v>
                </c:pt>
                <c:pt idx="2">
                  <c:v>0.299255337153357</c:v>
                </c:pt>
              </c:numCache>
            </c:numRef>
          </c:val>
          <c:extLst>
            <c:ext xmlns:c16="http://schemas.microsoft.com/office/drawing/2014/chart" uri="{C3380CC4-5D6E-409C-BE32-E72D297353CC}">
              <c16:uniqueId val="{00000013-1208-4491-BCDA-50020FABF20F}"/>
            </c:ext>
          </c:extLst>
        </c:ser>
        <c:ser>
          <c:idx val="1"/>
          <c:order val="1"/>
          <c:tx>
            <c:strRef>
              <c:f>Pivot!$J$23</c:f>
              <c:strCache>
                <c:ptCount val="1"/>
                <c:pt idx="0">
                  <c:v>Distinct Count of StaffName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EB63-4BB5-BE6B-AEAA2F911CE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9-EB63-4BB5-BE6B-AEAA2F911CE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B-EB63-4BB5-BE6B-AEAA2F911CE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Pivot!$H$24:$H$26</c:f>
              <c:strCache>
                <c:ptCount val="3"/>
                <c:pt idx="0">
                  <c:v>Chef</c:v>
                </c:pt>
                <c:pt idx="1">
                  <c:v>Manager</c:v>
                </c:pt>
                <c:pt idx="2">
                  <c:v>Server</c:v>
                </c:pt>
              </c:strCache>
            </c:strRef>
          </c:cat>
          <c:val>
            <c:numRef>
              <c:f>Pivot!$J$24:$J$26</c:f>
              <c:numCache>
                <c:formatCode>_-* #,##0_-;\-* #,##0_-;_-* "-"??_-;_-@_-</c:formatCode>
                <c:ptCount val="3"/>
                <c:pt idx="0">
                  <c:v>4</c:v>
                </c:pt>
                <c:pt idx="1">
                  <c:v>3</c:v>
                </c:pt>
                <c:pt idx="2">
                  <c:v>6</c:v>
                </c:pt>
              </c:numCache>
            </c:numRef>
          </c:val>
          <c:extLst>
            <c:ext xmlns:c16="http://schemas.microsoft.com/office/drawing/2014/chart" uri="{C3380CC4-5D6E-409C-BE32-E72D297353CC}">
              <c16:uniqueId val="{00000014-1208-4491-BCDA-50020FABF20F}"/>
            </c:ext>
          </c:extLst>
        </c:ser>
        <c:dLbls>
          <c:showLegendKey val="0"/>
          <c:showVal val="0"/>
          <c:showCatName val="0"/>
          <c:showSerName val="0"/>
          <c:showPercent val="0"/>
          <c:showBubbleSize val="0"/>
          <c:showLeaderLines val="1"/>
        </c:dLbls>
        <c:firstSliceAng val="0"/>
        <c:holeSize val="36"/>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[EmployeeShiftManagement_Demo.xlsm]Pivot!pvEmployeeWorkingHourVsContractHour</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Working Hour vs Contract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no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lumMod val="60000"/>
              <a:lumOff val="40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lumMod val="60000"/>
              <a:lumOff val="40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no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1"/>
          <c:order val="1"/>
          <c:tx>
            <c:strRef>
              <c:f>Pivot!$D$44</c:f>
              <c:strCache>
                <c:ptCount val="1"/>
                <c:pt idx="0">
                  <c:v>SafeHour</c:v>
                </c:pt>
              </c:strCache>
            </c:strRef>
          </c:tx>
          <c:spPr>
            <a:solidFill>
              <a:schemeClr val="accent3"/>
            </a:solidFill>
            <a:ln>
              <a:noFill/>
            </a:ln>
            <a:effectLst/>
          </c:spPr>
          <c:invertIfNegative val="0"/>
          <c:cat>
            <c:multiLvlStrRef>
              <c:f>Pivot!$B$45:$B$61</c:f>
              <c:multiLvlStrCache>
                <c:ptCount val="13"/>
                <c:lvl>
                  <c:pt idx="0">
                    <c:v>Glenn Silver</c:v>
                  </c:pt>
                  <c:pt idx="1">
                    <c:v>Jenna Gold</c:v>
                  </c:pt>
                  <c:pt idx="2">
                    <c:v>Max Titanium</c:v>
                  </c:pt>
                  <c:pt idx="3">
                    <c:v>Oliver East</c:v>
                  </c:pt>
                  <c:pt idx="4">
                    <c:v>David South</c:v>
                  </c:pt>
                  <c:pt idx="5">
                    <c:v>Jonh West</c:v>
                  </c:pt>
                  <c:pt idx="6">
                    <c:v>Will North</c:v>
                  </c:pt>
                  <c:pt idx="7">
                    <c:v>Aaliyah Khan</c:v>
                  </c:pt>
                  <c:pt idx="8">
                    <c:v>Elena Rodriguez</c:v>
                  </c:pt>
                  <c:pt idx="9">
                    <c:v>Julian Chen</c:v>
                  </c:pt>
                  <c:pt idx="10">
                    <c:v>Leo Moretti</c:v>
                  </c:pt>
                  <c:pt idx="11">
                    <c:v>Marcus Thompson</c:v>
                  </c:pt>
                  <c:pt idx="12">
                    <c:v>Sarah Jenkins</c:v>
                  </c:pt>
                </c:lvl>
                <c:lvl>
                  <c:pt idx="0">
                    <c:v>Chef</c:v>
                  </c:pt>
                  <c:pt idx="4">
                    <c:v>Manager</c:v>
                  </c:pt>
                  <c:pt idx="7">
                    <c:v>Server</c:v>
                  </c:pt>
                </c:lvl>
              </c:multiLvlStrCache>
            </c:multiLvlStrRef>
          </c:cat>
          <c:val>
            <c:numRef>
              <c:f>Pivot!$D$45:$D$61</c:f>
              <c:numCache>
                <c:formatCode>General</c:formatCode>
                <c:ptCount val="13"/>
                <c:pt idx="0">
                  <c:v>560</c:v>
                </c:pt>
                <c:pt idx="1">
                  <c:v>264</c:v>
                </c:pt>
                <c:pt idx="2">
                  <c:v>528</c:v>
                </c:pt>
                <c:pt idx="3">
                  <c:v>552</c:v>
                </c:pt>
                <c:pt idx="4">
                  <c:v>539</c:v>
                </c:pt>
                <c:pt idx="5">
                  <c:v>443</c:v>
                </c:pt>
                <c:pt idx="6">
                  <c:v>525</c:v>
                </c:pt>
                <c:pt idx="7">
                  <c:v>244.99999999999997</c:v>
                </c:pt>
                <c:pt idx="8">
                  <c:v>440</c:v>
                </c:pt>
                <c:pt idx="9">
                  <c:v>431</c:v>
                </c:pt>
                <c:pt idx="10">
                  <c:v>280</c:v>
                </c:pt>
                <c:pt idx="11">
                  <c:v>560</c:v>
                </c:pt>
                <c:pt idx="12">
                  <c:v>280</c:v>
                </c:pt>
              </c:numCache>
            </c:numRef>
          </c:val>
          <c:extLst>
            <c:ext xmlns:c16="http://schemas.microsoft.com/office/drawing/2014/chart" uri="{C3380CC4-5D6E-409C-BE32-E72D297353CC}">
              <c16:uniqueId val="{0000000B-7FD1-4DD5-9C6C-9F96187CA15C}"/>
            </c:ext>
          </c:extLst>
        </c:ser>
        <c:ser>
          <c:idx val="2"/>
          <c:order val="2"/>
          <c:tx>
            <c:strRef>
              <c:f>Pivot!$E$44</c:f>
              <c:strCache>
                <c:ptCount val="1"/>
                <c:pt idx="0">
                  <c:v>OvertimedHour</c:v>
                </c:pt>
              </c:strCache>
            </c:strRef>
          </c:tx>
          <c:spPr>
            <a:solidFill>
              <a:schemeClr val="accent2">
                <a:lumMod val="60000"/>
                <a:lumOff val="40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Pivot!$B$45:$B$61</c:f>
              <c:multiLvlStrCache>
                <c:ptCount val="13"/>
                <c:lvl>
                  <c:pt idx="0">
                    <c:v>Glenn Silver</c:v>
                  </c:pt>
                  <c:pt idx="1">
                    <c:v>Jenna Gold</c:v>
                  </c:pt>
                  <c:pt idx="2">
                    <c:v>Max Titanium</c:v>
                  </c:pt>
                  <c:pt idx="3">
                    <c:v>Oliver East</c:v>
                  </c:pt>
                  <c:pt idx="4">
                    <c:v>David South</c:v>
                  </c:pt>
                  <c:pt idx="5">
                    <c:v>Jonh West</c:v>
                  </c:pt>
                  <c:pt idx="6">
                    <c:v>Will North</c:v>
                  </c:pt>
                  <c:pt idx="7">
                    <c:v>Aaliyah Khan</c:v>
                  </c:pt>
                  <c:pt idx="8">
                    <c:v>Elena Rodriguez</c:v>
                  </c:pt>
                  <c:pt idx="9">
                    <c:v>Julian Chen</c:v>
                  </c:pt>
                  <c:pt idx="10">
                    <c:v>Leo Moretti</c:v>
                  </c:pt>
                  <c:pt idx="11">
                    <c:v>Marcus Thompson</c:v>
                  </c:pt>
                  <c:pt idx="12">
                    <c:v>Sarah Jenkins</c:v>
                  </c:pt>
                </c:lvl>
                <c:lvl>
                  <c:pt idx="0">
                    <c:v>Chef</c:v>
                  </c:pt>
                  <c:pt idx="4">
                    <c:v>Manager</c:v>
                  </c:pt>
                  <c:pt idx="7">
                    <c:v>Server</c:v>
                  </c:pt>
                </c:lvl>
              </c:multiLvlStrCache>
            </c:multiLvlStrRef>
          </c:cat>
          <c:val>
            <c:numRef>
              <c:f>Pivot!$E$45:$E$61</c:f>
              <c:numCache>
                <c:formatCode>General</c:formatCode>
                <c:ptCount val="13"/>
                <c:pt idx="0">
                  <c:v>32</c:v>
                </c:pt>
                <c:pt idx="1">
                  <c:v>0</c:v>
                </c:pt>
                <c:pt idx="2">
                  <c:v>0</c:v>
                </c:pt>
                <c:pt idx="3">
                  <c:v>0</c:v>
                </c:pt>
                <c:pt idx="4">
                  <c:v>0</c:v>
                </c:pt>
                <c:pt idx="5">
                  <c:v>0</c:v>
                </c:pt>
                <c:pt idx="6">
                  <c:v>0</c:v>
                </c:pt>
                <c:pt idx="7">
                  <c:v>0</c:v>
                </c:pt>
                <c:pt idx="8">
                  <c:v>0</c:v>
                </c:pt>
                <c:pt idx="9">
                  <c:v>0</c:v>
                </c:pt>
                <c:pt idx="10">
                  <c:v>46</c:v>
                </c:pt>
                <c:pt idx="11">
                  <c:v>56</c:v>
                </c:pt>
                <c:pt idx="12">
                  <c:v>0</c:v>
                </c:pt>
              </c:numCache>
            </c:numRef>
          </c:val>
          <c:extLst>
            <c:ext xmlns:c16="http://schemas.microsoft.com/office/drawing/2014/chart" uri="{C3380CC4-5D6E-409C-BE32-E72D297353CC}">
              <c16:uniqueId val="{0000000C-7FD1-4DD5-9C6C-9F96187CA15C}"/>
            </c:ext>
          </c:extLst>
        </c:ser>
        <c:dLbls>
          <c:showLegendKey val="0"/>
          <c:showVal val="0"/>
          <c:showCatName val="0"/>
          <c:showSerName val="0"/>
          <c:showPercent val="0"/>
          <c:showBubbleSize val="0"/>
        </c:dLbls>
        <c:gapWidth val="150"/>
        <c:overlap val="100"/>
        <c:axId val="1977723519"/>
        <c:axId val="1977730591"/>
      </c:barChart>
      <c:barChart>
        <c:barDir val="bar"/>
        <c:grouping val="stacked"/>
        <c:varyColors val="0"/>
        <c:ser>
          <c:idx val="0"/>
          <c:order val="0"/>
          <c:tx>
            <c:strRef>
              <c:f>Pivot!$C$44</c:f>
              <c:strCache>
                <c:ptCount val="1"/>
                <c:pt idx="0">
                  <c:v>MaxHour</c:v>
                </c:pt>
              </c:strCache>
            </c:strRef>
          </c:tx>
          <c:spPr>
            <a:noFill/>
            <a:ln>
              <a:solidFill>
                <a:schemeClr val="bg1">
                  <a:lumMod val="75000"/>
                </a:schemeClr>
              </a:solidFill>
            </a:ln>
            <a:effectLst/>
          </c:spPr>
          <c:invertIfNegative val="0"/>
          <c:cat>
            <c:multiLvlStrRef>
              <c:f>Pivot!$B$45:$B$61</c:f>
              <c:multiLvlStrCache>
                <c:ptCount val="13"/>
                <c:lvl>
                  <c:pt idx="0">
                    <c:v>Glenn Silver</c:v>
                  </c:pt>
                  <c:pt idx="1">
                    <c:v>Jenna Gold</c:v>
                  </c:pt>
                  <c:pt idx="2">
                    <c:v>Max Titanium</c:v>
                  </c:pt>
                  <c:pt idx="3">
                    <c:v>Oliver East</c:v>
                  </c:pt>
                  <c:pt idx="4">
                    <c:v>David South</c:v>
                  </c:pt>
                  <c:pt idx="5">
                    <c:v>Jonh West</c:v>
                  </c:pt>
                  <c:pt idx="6">
                    <c:v>Will North</c:v>
                  </c:pt>
                  <c:pt idx="7">
                    <c:v>Aaliyah Khan</c:v>
                  </c:pt>
                  <c:pt idx="8">
                    <c:v>Elena Rodriguez</c:v>
                  </c:pt>
                  <c:pt idx="9">
                    <c:v>Julian Chen</c:v>
                  </c:pt>
                  <c:pt idx="10">
                    <c:v>Leo Moretti</c:v>
                  </c:pt>
                  <c:pt idx="11">
                    <c:v>Marcus Thompson</c:v>
                  </c:pt>
                  <c:pt idx="12">
                    <c:v>Sarah Jenkins</c:v>
                  </c:pt>
                </c:lvl>
                <c:lvl>
                  <c:pt idx="0">
                    <c:v>Chef</c:v>
                  </c:pt>
                  <c:pt idx="4">
                    <c:v>Manager</c:v>
                  </c:pt>
                  <c:pt idx="7">
                    <c:v>Server</c:v>
                  </c:pt>
                </c:lvl>
              </c:multiLvlStrCache>
            </c:multiLvlStrRef>
          </c:cat>
          <c:val>
            <c:numRef>
              <c:f>Pivot!$C$45:$C$61</c:f>
              <c:numCache>
                <c:formatCode>General</c:formatCode>
                <c:ptCount val="13"/>
                <c:pt idx="0">
                  <c:v>560</c:v>
                </c:pt>
                <c:pt idx="1">
                  <c:v>560</c:v>
                </c:pt>
                <c:pt idx="2">
                  <c:v>560</c:v>
                </c:pt>
                <c:pt idx="3">
                  <c:v>560</c:v>
                </c:pt>
                <c:pt idx="4">
                  <c:v>560</c:v>
                </c:pt>
                <c:pt idx="5">
                  <c:v>560</c:v>
                </c:pt>
                <c:pt idx="6">
                  <c:v>560</c:v>
                </c:pt>
                <c:pt idx="7">
                  <c:v>280</c:v>
                </c:pt>
                <c:pt idx="8">
                  <c:v>560</c:v>
                </c:pt>
                <c:pt idx="9">
                  <c:v>560</c:v>
                </c:pt>
                <c:pt idx="10">
                  <c:v>280</c:v>
                </c:pt>
                <c:pt idx="11">
                  <c:v>560</c:v>
                </c:pt>
                <c:pt idx="12">
                  <c:v>280</c:v>
                </c:pt>
              </c:numCache>
            </c:numRef>
          </c:val>
          <c:extLst>
            <c:ext xmlns:c16="http://schemas.microsoft.com/office/drawing/2014/chart" uri="{C3380CC4-5D6E-409C-BE32-E72D297353CC}">
              <c16:uniqueId val="{0000000A-7FD1-4DD5-9C6C-9F96187CA15C}"/>
            </c:ext>
          </c:extLst>
        </c:ser>
        <c:dLbls>
          <c:showLegendKey val="0"/>
          <c:showVal val="0"/>
          <c:showCatName val="0"/>
          <c:showSerName val="0"/>
          <c:showPercent val="0"/>
          <c:showBubbleSize val="0"/>
        </c:dLbls>
        <c:gapWidth val="150"/>
        <c:overlap val="100"/>
        <c:axId val="119899647"/>
        <c:axId val="323664031"/>
      </c:barChart>
      <c:catAx>
        <c:axId val="19777235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7730591"/>
        <c:crosses val="autoZero"/>
        <c:auto val="1"/>
        <c:lblAlgn val="ctr"/>
        <c:lblOffset val="100"/>
        <c:noMultiLvlLbl val="0"/>
      </c:catAx>
      <c:valAx>
        <c:axId val="197773059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7723519"/>
        <c:crosses val="autoZero"/>
        <c:crossBetween val="between"/>
      </c:valAx>
      <c:valAx>
        <c:axId val="323664031"/>
        <c:scaling>
          <c:orientation val="minMax"/>
          <c:max val="700"/>
          <c:min val="0"/>
        </c:scaling>
        <c:delete val="0"/>
        <c:axPos val="t"/>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99647"/>
        <c:crosses val="max"/>
        <c:crossBetween val="between"/>
      </c:valAx>
      <c:catAx>
        <c:axId val="119899647"/>
        <c:scaling>
          <c:orientation val="minMax"/>
        </c:scaling>
        <c:delete val="1"/>
        <c:axPos val="l"/>
        <c:numFmt formatCode="General" sourceLinked="1"/>
        <c:majorTickMark val="out"/>
        <c:minorTickMark val="none"/>
        <c:tickLblPos val="nextTo"/>
        <c:crossAx val="32366403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[EmployeeShiftManagement_Demo.xlsm]Pivot!pvWorkloadPercentage</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Workload Percentage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Pivot!$I$44</c:f>
              <c:strCache>
                <c:ptCount val="1"/>
                <c:pt idx="0">
                  <c:v>WorkloadPercentSafe</c:v>
                </c:pt>
              </c:strCache>
            </c:strRef>
          </c:tx>
          <c:spPr>
            <a:solidFill>
              <a:schemeClr val="accent3"/>
            </a:solidFill>
            <a:ln>
              <a:noFill/>
            </a:ln>
            <a:effectLst/>
          </c:spPr>
          <c:invertIfNegative val="0"/>
          <c:cat>
            <c:multiLvlStrRef>
              <c:f>Pivot!$H$45:$H$61</c:f>
              <c:multiLvlStrCache>
                <c:ptCount val="13"/>
                <c:lvl>
                  <c:pt idx="0">
                    <c:v>Glenn Silver</c:v>
                  </c:pt>
                  <c:pt idx="1">
                    <c:v>Jenna Gold</c:v>
                  </c:pt>
                  <c:pt idx="2">
                    <c:v>Max Titanium</c:v>
                  </c:pt>
                  <c:pt idx="3">
                    <c:v>Oliver East</c:v>
                  </c:pt>
                  <c:pt idx="4">
                    <c:v>David South</c:v>
                  </c:pt>
                  <c:pt idx="5">
                    <c:v>Jonh West</c:v>
                  </c:pt>
                  <c:pt idx="6">
                    <c:v>Will North</c:v>
                  </c:pt>
                  <c:pt idx="7">
                    <c:v>Aaliyah Khan</c:v>
                  </c:pt>
                  <c:pt idx="8">
                    <c:v>Elena Rodriguez</c:v>
                  </c:pt>
                  <c:pt idx="9">
                    <c:v>Julian Chen</c:v>
                  </c:pt>
                  <c:pt idx="10">
                    <c:v>Leo Moretti</c:v>
                  </c:pt>
                  <c:pt idx="11">
                    <c:v>Marcus Thompson</c:v>
                  </c:pt>
                  <c:pt idx="12">
                    <c:v>Sarah Jenkins</c:v>
                  </c:pt>
                </c:lvl>
                <c:lvl>
                  <c:pt idx="0">
                    <c:v>Chef</c:v>
                  </c:pt>
                  <c:pt idx="4">
                    <c:v>Manager</c:v>
                  </c:pt>
                  <c:pt idx="7">
                    <c:v>Server</c:v>
                  </c:pt>
                </c:lvl>
              </c:multiLvlStrCache>
            </c:multiLvlStrRef>
          </c:cat>
          <c:val>
            <c:numRef>
              <c:f>Pivot!$I$45:$I$61</c:f>
              <c:numCache>
                <c:formatCode>0%</c:formatCode>
                <c:ptCount val="13"/>
                <c:pt idx="1">
                  <c:v>0.47142857142857142</c:v>
                </c:pt>
                <c:pt idx="2">
                  <c:v>0.94285714285714284</c:v>
                </c:pt>
                <c:pt idx="3">
                  <c:v>0.98571428571428577</c:v>
                </c:pt>
                <c:pt idx="4">
                  <c:v>0.96250000000000002</c:v>
                </c:pt>
                <c:pt idx="5">
                  <c:v>0.79107142857142854</c:v>
                </c:pt>
                <c:pt idx="6">
                  <c:v>0.9375</c:v>
                </c:pt>
                <c:pt idx="7">
                  <c:v>0.87499999999999989</c:v>
                </c:pt>
                <c:pt idx="8">
                  <c:v>0.7857142857142857</c:v>
                </c:pt>
                <c:pt idx="9">
                  <c:v>0.76964285714285718</c:v>
                </c:pt>
                <c:pt idx="12">
                  <c:v>1</c:v>
                </c:pt>
              </c:numCache>
            </c:numRef>
          </c:val>
          <c:extLst>
            <c:ext xmlns:c16="http://schemas.microsoft.com/office/drawing/2014/chart" uri="{C3380CC4-5D6E-409C-BE32-E72D297353CC}">
              <c16:uniqueId val="{00000007-814B-4D50-9129-AD8172B0109F}"/>
            </c:ext>
          </c:extLst>
        </c:ser>
        <c:ser>
          <c:idx val="1"/>
          <c:order val="1"/>
          <c:tx>
            <c:strRef>
              <c:f>Pivot!$J$44</c:f>
              <c:strCache>
                <c:ptCount val="1"/>
                <c:pt idx="0">
                  <c:v>WorkloadPercentOvertimed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Pivot!$H$45:$H$61</c:f>
              <c:multiLvlStrCache>
                <c:ptCount val="13"/>
                <c:lvl>
                  <c:pt idx="0">
                    <c:v>Glenn Silver</c:v>
                  </c:pt>
                  <c:pt idx="1">
                    <c:v>Jenna Gold</c:v>
                  </c:pt>
                  <c:pt idx="2">
                    <c:v>Max Titanium</c:v>
                  </c:pt>
                  <c:pt idx="3">
                    <c:v>Oliver East</c:v>
                  </c:pt>
                  <c:pt idx="4">
                    <c:v>David South</c:v>
                  </c:pt>
                  <c:pt idx="5">
                    <c:v>Jonh West</c:v>
                  </c:pt>
                  <c:pt idx="6">
                    <c:v>Will North</c:v>
                  </c:pt>
                  <c:pt idx="7">
                    <c:v>Aaliyah Khan</c:v>
                  </c:pt>
                  <c:pt idx="8">
                    <c:v>Elena Rodriguez</c:v>
                  </c:pt>
                  <c:pt idx="9">
                    <c:v>Julian Chen</c:v>
                  </c:pt>
                  <c:pt idx="10">
                    <c:v>Leo Moretti</c:v>
                  </c:pt>
                  <c:pt idx="11">
                    <c:v>Marcus Thompson</c:v>
                  </c:pt>
                  <c:pt idx="12">
                    <c:v>Sarah Jenkins</c:v>
                  </c:pt>
                </c:lvl>
                <c:lvl>
                  <c:pt idx="0">
                    <c:v>Chef</c:v>
                  </c:pt>
                  <c:pt idx="4">
                    <c:v>Manager</c:v>
                  </c:pt>
                  <c:pt idx="7">
                    <c:v>Server</c:v>
                  </c:pt>
                </c:lvl>
              </c:multiLvlStrCache>
            </c:multiLvlStrRef>
          </c:cat>
          <c:val>
            <c:numRef>
              <c:f>Pivot!$J$45:$J$61</c:f>
              <c:numCache>
                <c:formatCode>0%</c:formatCode>
                <c:ptCount val="13"/>
                <c:pt idx="0">
                  <c:v>1.0571428571428572</c:v>
                </c:pt>
                <c:pt idx="10">
                  <c:v>1.1642857142857144</c:v>
                </c:pt>
                <c:pt idx="11">
                  <c:v>1.1000000000000001</c:v>
                </c:pt>
              </c:numCache>
            </c:numRef>
          </c:val>
          <c:extLst>
            <c:ext xmlns:c16="http://schemas.microsoft.com/office/drawing/2014/chart" uri="{C3380CC4-5D6E-409C-BE32-E72D297353CC}">
              <c16:uniqueId val="{00000008-814B-4D50-9129-AD8172B0109F}"/>
            </c:ext>
          </c:extLst>
        </c:ser>
        <c:dLbls>
          <c:showLegendKey val="0"/>
          <c:showVal val="0"/>
          <c:showCatName val="0"/>
          <c:showSerName val="0"/>
          <c:showPercent val="0"/>
          <c:showBubbleSize val="0"/>
        </c:dLbls>
        <c:gapWidth val="182"/>
        <c:axId val="1714186031"/>
        <c:axId val="1714185199"/>
      </c:barChart>
      <c:catAx>
        <c:axId val="17141860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4185199"/>
        <c:crosses val="autoZero"/>
        <c:auto val="1"/>
        <c:lblAlgn val="ctr"/>
        <c:lblOffset val="100"/>
        <c:noMultiLvlLbl val="0"/>
      </c:catAx>
      <c:valAx>
        <c:axId val="1714185199"/>
        <c:scaling>
          <c:orientation val="minMax"/>
        </c:scaling>
        <c:delete val="1"/>
        <c:axPos val="b"/>
        <c:numFmt formatCode="0%" sourceLinked="1"/>
        <c:majorTickMark val="none"/>
        <c:minorTickMark val="none"/>
        <c:tickLblPos val="nextTo"/>
        <c:crossAx val="17141860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[EmployeeShiftManagement_Demo.xlsm]Pivot!pvPremiumShiftDistribution</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Premium Shift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no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1"/>
          <c:order val="1"/>
          <c:tx>
            <c:strRef>
              <c:f>Pivot!$O$44</c:f>
              <c:strCache>
                <c:ptCount val="1"/>
                <c:pt idx="0">
                  <c:v>Moderate</c:v>
                </c:pt>
              </c:strCache>
            </c:strRef>
          </c:tx>
          <c:spPr>
            <a:solidFill>
              <a:schemeClr val="accent3"/>
            </a:solidFill>
            <a:ln>
              <a:noFill/>
            </a:ln>
            <a:effectLst/>
          </c:spPr>
          <c:invertIfNegative val="0"/>
          <c:cat>
            <c:multiLvlStrRef>
              <c:f>Pivot!$M$45:$M$61</c:f>
              <c:multiLvlStrCache>
                <c:ptCount val="13"/>
                <c:lvl>
                  <c:pt idx="0">
                    <c:v>Glenn Silver</c:v>
                  </c:pt>
                  <c:pt idx="1">
                    <c:v>Jenna Gold</c:v>
                  </c:pt>
                  <c:pt idx="2">
                    <c:v>Max Titanium</c:v>
                  </c:pt>
                  <c:pt idx="3">
                    <c:v>Oliver East</c:v>
                  </c:pt>
                  <c:pt idx="4">
                    <c:v>David South</c:v>
                  </c:pt>
                  <c:pt idx="5">
                    <c:v>Jonh West</c:v>
                  </c:pt>
                  <c:pt idx="6">
                    <c:v>Will North</c:v>
                  </c:pt>
                  <c:pt idx="7">
                    <c:v>Aaliyah Khan</c:v>
                  </c:pt>
                  <c:pt idx="8">
                    <c:v>Elena Rodriguez</c:v>
                  </c:pt>
                  <c:pt idx="9">
                    <c:v>Julian Chen</c:v>
                  </c:pt>
                  <c:pt idx="10">
                    <c:v>Leo Moretti</c:v>
                  </c:pt>
                  <c:pt idx="11">
                    <c:v>Marcus Thompson</c:v>
                  </c:pt>
                  <c:pt idx="12">
                    <c:v>Sarah Jenkins</c:v>
                  </c:pt>
                </c:lvl>
                <c:lvl>
                  <c:pt idx="0">
                    <c:v>Chef</c:v>
                  </c:pt>
                  <c:pt idx="4">
                    <c:v>Manager</c:v>
                  </c:pt>
                  <c:pt idx="7">
                    <c:v>Server</c:v>
                  </c:pt>
                </c:lvl>
              </c:multiLvlStrCache>
            </c:multiLvlStrRef>
          </c:cat>
          <c:val>
            <c:numRef>
              <c:f>Pivot!$O$45:$O$61</c:f>
              <c:numCache>
                <c:formatCode>General</c:formatCode>
                <c:ptCount val="13"/>
                <c:pt idx="0">
                  <c:v>23</c:v>
                </c:pt>
                <c:pt idx="1">
                  <c:v>4</c:v>
                </c:pt>
                <c:pt idx="2">
                  <c:v>8</c:v>
                </c:pt>
                <c:pt idx="3">
                  <c:v>0</c:v>
                </c:pt>
                <c:pt idx="4">
                  <c:v>0</c:v>
                </c:pt>
                <c:pt idx="5">
                  <c:v>19</c:v>
                </c:pt>
                <c:pt idx="6">
                  <c:v>0</c:v>
                </c:pt>
                <c:pt idx="7">
                  <c:v>9</c:v>
                </c:pt>
                <c:pt idx="8">
                  <c:v>5</c:v>
                </c:pt>
                <c:pt idx="9">
                  <c:v>0</c:v>
                </c:pt>
                <c:pt idx="10">
                  <c:v>0</c:v>
                </c:pt>
                <c:pt idx="11">
                  <c:v>0</c:v>
                </c:pt>
                <c:pt idx="12">
                  <c:v>10</c:v>
                </c:pt>
              </c:numCache>
            </c:numRef>
          </c:val>
          <c:extLst>
            <c:ext xmlns:c16="http://schemas.microsoft.com/office/drawing/2014/chart" uri="{C3380CC4-5D6E-409C-BE32-E72D297353CC}">
              <c16:uniqueId val="{0000000E-684B-48B5-9776-1304DD25E1FC}"/>
            </c:ext>
          </c:extLst>
        </c:ser>
        <c:ser>
          <c:idx val="2"/>
          <c:order val="2"/>
          <c:tx>
            <c:strRef>
              <c:f>Pivot!$P$44</c:f>
              <c:strCache>
                <c:ptCount val="1"/>
                <c:pt idx="0">
                  <c:v>Frequent</c:v>
                </c:pt>
              </c:strCache>
            </c:strRef>
          </c:tx>
          <c:spPr>
            <a:solidFill>
              <a:schemeClr val="accent2"/>
            </a:solidFill>
            <a:ln>
              <a:noFill/>
            </a:ln>
            <a:effectLst/>
          </c:spPr>
          <c:invertIfNegative val="0"/>
          <c:cat>
            <c:multiLvlStrRef>
              <c:f>Pivot!$M$45:$M$61</c:f>
              <c:multiLvlStrCache>
                <c:ptCount val="13"/>
                <c:lvl>
                  <c:pt idx="0">
                    <c:v>Glenn Silver</c:v>
                  </c:pt>
                  <c:pt idx="1">
                    <c:v>Jenna Gold</c:v>
                  </c:pt>
                  <c:pt idx="2">
                    <c:v>Max Titanium</c:v>
                  </c:pt>
                  <c:pt idx="3">
                    <c:v>Oliver East</c:v>
                  </c:pt>
                  <c:pt idx="4">
                    <c:v>David South</c:v>
                  </c:pt>
                  <c:pt idx="5">
                    <c:v>Jonh West</c:v>
                  </c:pt>
                  <c:pt idx="6">
                    <c:v>Will North</c:v>
                  </c:pt>
                  <c:pt idx="7">
                    <c:v>Aaliyah Khan</c:v>
                  </c:pt>
                  <c:pt idx="8">
                    <c:v>Elena Rodriguez</c:v>
                  </c:pt>
                  <c:pt idx="9">
                    <c:v>Julian Chen</c:v>
                  </c:pt>
                  <c:pt idx="10">
                    <c:v>Leo Moretti</c:v>
                  </c:pt>
                  <c:pt idx="11">
                    <c:v>Marcus Thompson</c:v>
                  </c:pt>
                  <c:pt idx="12">
                    <c:v>Sarah Jenkins</c:v>
                  </c:pt>
                </c:lvl>
                <c:lvl>
                  <c:pt idx="0">
                    <c:v>Chef</c:v>
                  </c:pt>
                  <c:pt idx="4">
                    <c:v>Manager</c:v>
                  </c:pt>
                  <c:pt idx="7">
                    <c:v>Server</c:v>
                  </c:pt>
                </c:lvl>
              </c:multiLvlStrCache>
            </c:multiLvlStrRef>
          </c:cat>
          <c:val>
            <c:numRef>
              <c:f>Pivot!$P$45:$P$61</c:f>
              <c:numCache>
                <c:formatCode>General</c:formatCode>
                <c:ptCount val="13"/>
                <c:pt idx="0">
                  <c:v>0</c:v>
                </c:pt>
                <c:pt idx="1">
                  <c:v>0</c:v>
                </c:pt>
                <c:pt idx="2">
                  <c:v>0</c:v>
                </c:pt>
                <c:pt idx="3">
                  <c:v>30</c:v>
                </c:pt>
                <c:pt idx="4">
                  <c:v>29</c:v>
                </c:pt>
                <c:pt idx="5">
                  <c:v>0</c:v>
                </c:pt>
                <c:pt idx="6">
                  <c:v>30</c:v>
                </c:pt>
                <c:pt idx="7">
                  <c:v>0</c:v>
                </c:pt>
                <c:pt idx="8">
                  <c:v>0</c:v>
                </c:pt>
                <c:pt idx="9">
                  <c:v>30</c:v>
                </c:pt>
                <c:pt idx="10">
                  <c:v>25</c:v>
                </c:pt>
                <c:pt idx="11">
                  <c:v>26</c:v>
                </c:pt>
                <c:pt idx="12">
                  <c:v>0</c:v>
                </c:pt>
              </c:numCache>
            </c:numRef>
          </c:val>
          <c:extLst>
            <c:ext xmlns:c16="http://schemas.microsoft.com/office/drawing/2014/chart" uri="{C3380CC4-5D6E-409C-BE32-E72D297353CC}">
              <c16:uniqueId val="{0000000F-684B-48B5-9776-1304DD25E1FC}"/>
            </c:ext>
          </c:extLst>
        </c:ser>
        <c:dLbls>
          <c:showLegendKey val="0"/>
          <c:showVal val="0"/>
          <c:showCatName val="0"/>
          <c:showSerName val="0"/>
          <c:showPercent val="0"/>
          <c:showBubbleSize val="0"/>
        </c:dLbls>
        <c:gapWidth val="150"/>
        <c:overlap val="100"/>
        <c:axId val="500811648"/>
        <c:axId val="500813312"/>
      </c:barChart>
      <c:barChart>
        <c:barDir val="bar"/>
        <c:grouping val="stacked"/>
        <c:varyColors val="0"/>
        <c:ser>
          <c:idx val="0"/>
          <c:order val="0"/>
          <c:tx>
            <c:strRef>
              <c:f>Pivot!$N$44</c:f>
              <c:strCache>
                <c:ptCount val="1"/>
                <c:pt idx="0">
                  <c:v>Total Premium Shift</c:v>
                </c:pt>
              </c:strCache>
            </c:strRef>
          </c:tx>
          <c:spPr>
            <a:noFill/>
            <a:ln>
              <a:solidFill>
                <a:schemeClr val="bg1">
                  <a:lumMod val="75000"/>
                </a:schemeClr>
              </a:solidFill>
            </a:ln>
            <a:effectLst/>
          </c:spPr>
          <c:invertIfNegative val="0"/>
          <c:cat>
            <c:multiLvlStrRef>
              <c:f>Pivot!$M$45:$M$61</c:f>
              <c:multiLvlStrCache>
                <c:ptCount val="13"/>
                <c:lvl>
                  <c:pt idx="0">
                    <c:v>Glenn Silver</c:v>
                  </c:pt>
                  <c:pt idx="1">
                    <c:v>Jenna Gold</c:v>
                  </c:pt>
                  <c:pt idx="2">
                    <c:v>Max Titanium</c:v>
                  </c:pt>
                  <c:pt idx="3">
                    <c:v>Oliver East</c:v>
                  </c:pt>
                  <c:pt idx="4">
                    <c:v>David South</c:v>
                  </c:pt>
                  <c:pt idx="5">
                    <c:v>Jonh West</c:v>
                  </c:pt>
                  <c:pt idx="6">
                    <c:v>Will North</c:v>
                  </c:pt>
                  <c:pt idx="7">
                    <c:v>Aaliyah Khan</c:v>
                  </c:pt>
                  <c:pt idx="8">
                    <c:v>Elena Rodriguez</c:v>
                  </c:pt>
                  <c:pt idx="9">
                    <c:v>Julian Chen</c:v>
                  </c:pt>
                  <c:pt idx="10">
                    <c:v>Leo Moretti</c:v>
                  </c:pt>
                  <c:pt idx="11">
                    <c:v>Marcus Thompson</c:v>
                  </c:pt>
                  <c:pt idx="12">
                    <c:v>Sarah Jenkins</c:v>
                  </c:pt>
                </c:lvl>
                <c:lvl>
                  <c:pt idx="0">
                    <c:v>Chef</c:v>
                  </c:pt>
                  <c:pt idx="4">
                    <c:v>Manager</c:v>
                  </c:pt>
                  <c:pt idx="7">
                    <c:v>Server</c:v>
                  </c:pt>
                </c:lvl>
              </c:multiLvlStrCache>
            </c:multiLvlStrRef>
          </c:cat>
          <c:val>
            <c:numRef>
              <c:f>Pivot!$N$45:$N$61</c:f>
              <c:numCache>
                <c:formatCode>General</c:formatCode>
                <c:ptCount val="13"/>
                <c:pt idx="0">
                  <c:v>31</c:v>
                </c:pt>
                <c:pt idx="1">
                  <c:v>31</c:v>
                </c:pt>
                <c:pt idx="2">
                  <c:v>31</c:v>
                </c:pt>
                <c:pt idx="3">
                  <c:v>31</c:v>
                </c:pt>
                <c:pt idx="4">
                  <c:v>31</c:v>
                </c:pt>
                <c:pt idx="5">
                  <c:v>31</c:v>
                </c:pt>
                <c:pt idx="6">
                  <c:v>31</c:v>
                </c:pt>
                <c:pt idx="7">
                  <c:v>31</c:v>
                </c:pt>
                <c:pt idx="8">
                  <c:v>31</c:v>
                </c:pt>
                <c:pt idx="9">
                  <c:v>31</c:v>
                </c:pt>
                <c:pt idx="10">
                  <c:v>31</c:v>
                </c:pt>
                <c:pt idx="11">
                  <c:v>31</c:v>
                </c:pt>
                <c:pt idx="12">
                  <c:v>31</c:v>
                </c:pt>
              </c:numCache>
            </c:numRef>
          </c:val>
          <c:extLst>
            <c:ext xmlns:c16="http://schemas.microsoft.com/office/drawing/2014/chart" uri="{C3380CC4-5D6E-409C-BE32-E72D297353CC}">
              <c16:uniqueId val="{0000000D-684B-48B5-9776-1304DD25E1FC}"/>
            </c:ext>
          </c:extLst>
        </c:ser>
        <c:dLbls>
          <c:showLegendKey val="0"/>
          <c:showVal val="0"/>
          <c:showCatName val="0"/>
          <c:showSerName val="0"/>
          <c:showPercent val="0"/>
          <c:showBubbleSize val="0"/>
        </c:dLbls>
        <c:gapWidth val="150"/>
        <c:overlap val="100"/>
        <c:axId val="602363407"/>
        <c:axId val="119898815"/>
      </c:barChart>
      <c:catAx>
        <c:axId val="5008116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813312"/>
        <c:crosses val="autoZero"/>
        <c:auto val="1"/>
        <c:lblAlgn val="ctr"/>
        <c:lblOffset val="100"/>
        <c:noMultiLvlLbl val="0"/>
      </c:catAx>
      <c:valAx>
        <c:axId val="5008133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811648"/>
        <c:crosses val="autoZero"/>
        <c:crossBetween val="between"/>
      </c:valAx>
      <c:valAx>
        <c:axId val="119898815"/>
        <c:scaling>
          <c:orientation val="minMax"/>
          <c:max val="35"/>
          <c:min val="0"/>
        </c:scaling>
        <c:delete val="0"/>
        <c:axPos val="t"/>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2363407"/>
        <c:crosses val="max"/>
        <c:crossBetween val="between"/>
      </c:valAx>
      <c:catAx>
        <c:axId val="602363407"/>
        <c:scaling>
          <c:orientation val="minMax"/>
        </c:scaling>
        <c:delete val="1"/>
        <c:axPos val="l"/>
        <c:numFmt formatCode="General" sourceLinked="1"/>
        <c:majorTickMark val="out"/>
        <c:minorTickMark val="none"/>
        <c:tickLblPos val="nextTo"/>
        <c:crossAx val="11989881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[EmployeeShiftManagement_Demo.xlsm]Pivot!pvTotalWageByRoleCategory</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Wage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Pivot!$T$44:$T$45</c:f>
              <c:strCache>
                <c:ptCount val="1"/>
                <c:pt idx="0">
                  <c:v>Chef</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Pivot!$S$46:$S$144</c:f>
              <c:strCache>
                <c:ptCount val="98"/>
                <c:pt idx="0">
                  <c:v>29/12/2025</c:v>
                </c:pt>
                <c:pt idx="1">
                  <c:v>30/12/2025</c:v>
                </c:pt>
                <c:pt idx="2">
                  <c:v>31/12/2025</c:v>
                </c:pt>
                <c:pt idx="3">
                  <c:v>1/01/2026</c:v>
                </c:pt>
                <c:pt idx="4">
                  <c:v>2/01/2026</c:v>
                </c:pt>
                <c:pt idx="5">
                  <c:v>3/01/2026</c:v>
                </c:pt>
                <c:pt idx="6">
                  <c:v>4/01/2026</c:v>
                </c:pt>
                <c:pt idx="7">
                  <c:v>5/01/2026</c:v>
                </c:pt>
                <c:pt idx="8">
                  <c:v>6/01/2026</c:v>
                </c:pt>
                <c:pt idx="9">
                  <c:v>7/01/2026</c:v>
                </c:pt>
                <c:pt idx="10">
                  <c:v>8/01/2026</c:v>
                </c:pt>
                <c:pt idx="11">
                  <c:v>9/01/2026</c:v>
                </c:pt>
                <c:pt idx="12">
                  <c:v>10/01/2026</c:v>
                </c:pt>
                <c:pt idx="13">
                  <c:v>11/01/2026</c:v>
                </c:pt>
                <c:pt idx="14">
                  <c:v>12/01/2026</c:v>
                </c:pt>
                <c:pt idx="15">
                  <c:v>13/01/2026</c:v>
                </c:pt>
                <c:pt idx="16">
                  <c:v>14/01/2026</c:v>
                </c:pt>
                <c:pt idx="17">
                  <c:v>15/01/2026</c:v>
                </c:pt>
                <c:pt idx="18">
                  <c:v>16/01/2026</c:v>
                </c:pt>
                <c:pt idx="19">
                  <c:v>17/01/2026</c:v>
                </c:pt>
                <c:pt idx="20">
                  <c:v>18/01/2026</c:v>
                </c:pt>
                <c:pt idx="21">
                  <c:v>19/01/2026</c:v>
                </c:pt>
                <c:pt idx="22">
                  <c:v>20/01/2026</c:v>
                </c:pt>
                <c:pt idx="23">
                  <c:v>21/01/2026</c:v>
                </c:pt>
                <c:pt idx="24">
                  <c:v>22/01/2026</c:v>
                </c:pt>
                <c:pt idx="25">
                  <c:v>23/01/2026</c:v>
                </c:pt>
                <c:pt idx="26">
                  <c:v>24/01/2026</c:v>
                </c:pt>
                <c:pt idx="27">
                  <c:v>25/01/2026</c:v>
                </c:pt>
                <c:pt idx="28">
                  <c:v>26/01/2026</c:v>
                </c:pt>
                <c:pt idx="29">
                  <c:v>27/01/2026</c:v>
                </c:pt>
                <c:pt idx="30">
                  <c:v>28/01/2026</c:v>
                </c:pt>
                <c:pt idx="31">
                  <c:v>29/01/2026</c:v>
                </c:pt>
                <c:pt idx="32">
                  <c:v>30/01/2026</c:v>
                </c:pt>
                <c:pt idx="33">
                  <c:v>31/01/2026</c:v>
                </c:pt>
                <c:pt idx="34">
                  <c:v>1/02/2026</c:v>
                </c:pt>
                <c:pt idx="35">
                  <c:v>2/02/2026</c:v>
                </c:pt>
                <c:pt idx="36">
                  <c:v>3/02/2026</c:v>
                </c:pt>
                <c:pt idx="37">
                  <c:v>4/02/2026</c:v>
                </c:pt>
                <c:pt idx="38">
                  <c:v>5/02/2026</c:v>
                </c:pt>
                <c:pt idx="39">
                  <c:v>6/02/2026</c:v>
                </c:pt>
                <c:pt idx="40">
                  <c:v>7/02/2026</c:v>
                </c:pt>
                <c:pt idx="41">
                  <c:v>8/02/2026</c:v>
                </c:pt>
                <c:pt idx="42">
                  <c:v>9/02/2026</c:v>
                </c:pt>
                <c:pt idx="43">
                  <c:v>10/02/2026</c:v>
                </c:pt>
                <c:pt idx="44">
                  <c:v>11/02/2026</c:v>
                </c:pt>
                <c:pt idx="45">
                  <c:v>12/02/2026</c:v>
                </c:pt>
                <c:pt idx="46">
                  <c:v>13/02/2026</c:v>
                </c:pt>
                <c:pt idx="47">
                  <c:v>14/02/2026</c:v>
                </c:pt>
                <c:pt idx="48">
                  <c:v>15/02/2026</c:v>
                </c:pt>
                <c:pt idx="49">
                  <c:v>16/02/2026</c:v>
                </c:pt>
                <c:pt idx="50">
                  <c:v>17/02/2026</c:v>
                </c:pt>
                <c:pt idx="51">
                  <c:v>18/02/2026</c:v>
                </c:pt>
                <c:pt idx="52">
                  <c:v>19/02/2026</c:v>
                </c:pt>
                <c:pt idx="53">
                  <c:v>20/02/2026</c:v>
                </c:pt>
                <c:pt idx="54">
                  <c:v>21/02/2026</c:v>
                </c:pt>
                <c:pt idx="55">
                  <c:v>22/02/2026</c:v>
                </c:pt>
                <c:pt idx="56">
                  <c:v>23/02/2026</c:v>
                </c:pt>
                <c:pt idx="57">
                  <c:v>24/02/2026</c:v>
                </c:pt>
                <c:pt idx="58">
                  <c:v>25/02/2026</c:v>
                </c:pt>
                <c:pt idx="59">
                  <c:v>26/02/2026</c:v>
                </c:pt>
                <c:pt idx="60">
                  <c:v>27/02/2026</c:v>
                </c:pt>
                <c:pt idx="61">
                  <c:v>28/02/2026</c:v>
                </c:pt>
                <c:pt idx="62">
                  <c:v>1/03/2026</c:v>
                </c:pt>
                <c:pt idx="63">
                  <c:v>2/03/2026</c:v>
                </c:pt>
                <c:pt idx="64">
                  <c:v>3/03/2026</c:v>
                </c:pt>
                <c:pt idx="65">
                  <c:v>4/03/2026</c:v>
                </c:pt>
                <c:pt idx="66">
                  <c:v>5/03/2026</c:v>
                </c:pt>
                <c:pt idx="67">
                  <c:v>6/03/2026</c:v>
                </c:pt>
                <c:pt idx="68">
                  <c:v>7/03/2026</c:v>
                </c:pt>
                <c:pt idx="69">
                  <c:v>8/03/2026</c:v>
                </c:pt>
                <c:pt idx="70">
                  <c:v>9/03/2026</c:v>
                </c:pt>
                <c:pt idx="71">
                  <c:v>10/03/2026</c:v>
                </c:pt>
                <c:pt idx="72">
                  <c:v>11/03/2026</c:v>
                </c:pt>
                <c:pt idx="73">
                  <c:v>12/03/2026</c:v>
                </c:pt>
                <c:pt idx="74">
                  <c:v>13/03/2026</c:v>
                </c:pt>
                <c:pt idx="75">
                  <c:v>14/03/2026</c:v>
                </c:pt>
                <c:pt idx="76">
                  <c:v>15/03/2026</c:v>
                </c:pt>
                <c:pt idx="77">
                  <c:v>16/03/2026</c:v>
                </c:pt>
                <c:pt idx="78">
                  <c:v>17/03/2026</c:v>
                </c:pt>
                <c:pt idx="79">
                  <c:v>18/03/2026</c:v>
                </c:pt>
                <c:pt idx="80">
                  <c:v>19/03/2026</c:v>
                </c:pt>
                <c:pt idx="81">
                  <c:v>20/03/2026</c:v>
                </c:pt>
                <c:pt idx="82">
                  <c:v>21/03/2026</c:v>
                </c:pt>
                <c:pt idx="83">
                  <c:v>22/03/2026</c:v>
                </c:pt>
                <c:pt idx="84">
                  <c:v>23/03/2026</c:v>
                </c:pt>
                <c:pt idx="85">
                  <c:v>24/03/2026</c:v>
                </c:pt>
                <c:pt idx="86">
                  <c:v>25/03/2026</c:v>
                </c:pt>
                <c:pt idx="87">
                  <c:v>26/03/2026</c:v>
                </c:pt>
                <c:pt idx="88">
                  <c:v>27/03/2026</c:v>
                </c:pt>
                <c:pt idx="89">
                  <c:v>28/03/2026</c:v>
                </c:pt>
                <c:pt idx="90">
                  <c:v>29/03/2026</c:v>
                </c:pt>
                <c:pt idx="91">
                  <c:v>30/03/2026</c:v>
                </c:pt>
                <c:pt idx="92">
                  <c:v>31/03/2026</c:v>
                </c:pt>
                <c:pt idx="93">
                  <c:v>1/04/2026</c:v>
                </c:pt>
                <c:pt idx="94">
                  <c:v>2/04/2026</c:v>
                </c:pt>
                <c:pt idx="95">
                  <c:v>3/04/2026</c:v>
                </c:pt>
                <c:pt idx="96">
                  <c:v>4/04/2026</c:v>
                </c:pt>
                <c:pt idx="97">
                  <c:v>5/04/2026</c:v>
                </c:pt>
              </c:strCache>
            </c:strRef>
          </c:cat>
          <c:val>
            <c:numRef>
              <c:f>Pivot!$T$46:$T$144</c:f>
              <c:numCache>
                <c:formatCode>General</c:formatCode>
                <c:ptCount val="98"/>
                <c:pt idx="0">
                  <c:v>784</c:v>
                </c:pt>
                <c:pt idx="1">
                  <c:v>727.99999999999989</c:v>
                </c:pt>
                <c:pt idx="2">
                  <c:v>728</c:v>
                </c:pt>
                <c:pt idx="3">
                  <c:v>895.99999999999989</c:v>
                </c:pt>
                <c:pt idx="4">
                  <c:v>447.99999999999994</c:v>
                </c:pt>
                <c:pt idx="5">
                  <c:v>755.99999999999989</c:v>
                </c:pt>
                <c:pt idx="6">
                  <c:v>755.99999999999989</c:v>
                </c:pt>
                <c:pt idx="7">
                  <c:v>0</c:v>
                </c:pt>
                <c:pt idx="8">
                  <c:v>0</c:v>
                </c:pt>
                <c:pt idx="9">
                  <c:v>0</c:v>
                </c:pt>
                <c:pt idx="10">
                  <c:v>0</c:v>
                </c:pt>
                <c:pt idx="11">
                  <c:v>447.99999999999994</c:v>
                </c:pt>
                <c:pt idx="12">
                  <c:v>755.99999999999989</c:v>
                </c:pt>
                <c:pt idx="13">
                  <c:v>755.99999999999989</c:v>
                </c:pt>
                <c:pt idx="14">
                  <c:v>784</c:v>
                </c:pt>
                <c:pt idx="15">
                  <c:v>784</c:v>
                </c:pt>
                <c:pt idx="16">
                  <c:v>727.99999999999989</c:v>
                </c:pt>
                <c:pt idx="17">
                  <c:v>728</c:v>
                </c:pt>
                <c:pt idx="18">
                  <c:v>447.99999999999994</c:v>
                </c:pt>
                <c:pt idx="19">
                  <c:v>755.99999999999989</c:v>
                </c:pt>
                <c:pt idx="20">
                  <c:v>755.99999999999989</c:v>
                </c:pt>
                <c:pt idx="21">
                  <c:v>784</c:v>
                </c:pt>
                <c:pt idx="22">
                  <c:v>784</c:v>
                </c:pt>
                <c:pt idx="23">
                  <c:v>727.99999999999989</c:v>
                </c:pt>
                <c:pt idx="24">
                  <c:v>728</c:v>
                </c:pt>
                <c:pt idx="25">
                  <c:v>447.99999999999994</c:v>
                </c:pt>
                <c:pt idx="26">
                  <c:v>755.99999999999989</c:v>
                </c:pt>
                <c:pt idx="27">
                  <c:v>755.99999999999989</c:v>
                </c:pt>
                <c:pt idx="28">
                  <c:v>784</c:v>
                </c:pt>
                <c:pt idx="29">
                  <c:v>784</c:v>
                </c:pt>
                <c:pt idx="30">
                  <c:v>727.99999999999989</c:v>
                </c:pt>
                <c:pt idx="31">
                  <c:v>728</c:v>
                </c:pt>
                <c:pt idx="32">
                  <c:v>447.99999999999994</c:v>
                </c:pt>
                <c:pt idx="33">
                  <c:v>755.99999999999989</c:v>
                </c:pt>
                <c:pt idx="34">
                  <c:v>755.99999999999989</c:v>
                </c:pt>
                <c:pt idx="35">
                  <c:v>784</c:v>
                </c:pt>
                <c:pt idx="36">
                  <c:v>784</c:v>
                </c:pt>
                <c:pt idx="37">
                  <c:v>727.99999999999989</c:v>
                </c:pt>
                <c:pt idx="38">
                  <c:v>728</c:v>
                </c:pt>
                <c:pt idx="39">
                  <c:v>447.99999999999994</c:v>
                </c:pt>
                <c:pt idx="40">
                  <c:v>755.99999999999989</c:v>
                </c:pt>
                <c:pt idx="41">
                  <c:v>755.99999999999989</c:v>
                </c:pt>
                <c:pt idx="42">
                  <c:v>784</c:v>
                </c:pt>
                <c:pt idx="43">
                  <c:v>784</c:v>
                </c:pt>
                <c:pt idx="44">
                  <c:v>727.99999999999989</c:v>
                </c:pt>
                <c:pt idx="45">
                  <c:v>728</c:v>
                </c:pt>
                <c:pt idx="46">
                  <c:v>447.99999999999994</c:v>
                </c:pt>
                <c:pt idx="47">
                  <c:v>755.99999999999989</c:v>
                </c:pt>
                <c:pt idx="48">
                  <c:v>755.99999999999989</c:v>
                </c:pt>
                <c:pt idx="49">
                  <c:v>784</c:v>
                </c:pt>
                <c:pt idx="50">
                  <c:v>784</c:v>
                </c:pt>
                <c:pt idx="51">
                  <c:v>727.99999999999989</c:v>
                </c:pt>
                <c:pt idx="52">
                  <c:v>728</c:v>
                </c:pt>
                <c:pt idx="53">
                  <c:v>447.99999999999994</c:v>
                </c:pt>
                <c:pt idx="54">
                  <c:v>755.99999999999989</c:v>
                </c:pt>
                <c:pt idx="55">
                  <c:v>755.99999999999989</c:v>
                </c:pt>
                <c:pt idx="56">
                  <c:v>784</c:v>
                </c:pt>
                <c:pt idx="57">
                  <c:v>784</c:v>
                </c:pt>
                <c:pt idx="58">
                  <c:v>728</c:v>
                </c:pt>
                <c:pt idx="59">
                  <c:v>728</c:v>
                </c:pt>
                <c:pt idx="60">
                  <c:v>1092</c:v>
                </c:pt>
                <c:pt idx="61">
                  <c:v>756</c:v>
                </c:pt>
                <c:pt idx="62">
                  <c:v>504</c:v>
                </c:pt>
                <c:pt idx="63">
                  <c:v>784</c:v>
                </c:pt>
                <c:pt idx="64">
                  <c:v>784</c:v>
                </c:pt>
                <c:pt idx="65">
                  <c:v>728</c:v>
                </c:pt>
                <c:pt idx="66">
                  <c:v>728</c:v>
                </c:pt>
                <c:pt idx="67">
                  <c:v>1092</c:v>
                </c:pt>
                <c:pt idx="68">
                  <c:v>756</c:v>
                </c:pt>
                <c:pt idx="69">
                  <c:v>504</c:v>
                </c:pt>
                <c:pt idx="70">
                  <c:v>784</c:v>
                </c:pt>
                <c:pt idx="71">
                  <c:v>784</c:v>
                </c:pt>
                <c:pt idx="72">
                  <c:v>728</c:v>
                </c:pt>
                <c:pt idx="73">
                  <c:v>728</c:v>
                </c:pt>
                <c:pt idx="74">
                  <c:v>672</c:v>
                </c:pt>
                <c:pt idx="75">
                  <c:v>756</c:v>
                </c:pt>
                <c:pt idx="76">
                  <c:v>504</c:v>
                </c:pt>
                <c:pt idx="77">
                  <c:v>784</c:v>
                </c:pt>
                <c:pt idx="78">
                  <c:v>784</c:v>
                </c:pt>
                <c:pt idx="79">
                  <c:v>1456</c:v>
                </c:pt>
                <c:pt idx="80">
                  <c:v>448</c:v>
                </c:pt>
                <c:pt idx="81">
                  <c:v>672</c:v>
                </c:pt>
                <c:pt idx="82">
                  <c:v>756</c:v>
                </c:pt>
                <c:pt idx="83">
                  <c:v>504</c:v>
                </c:pt>
                <c:pt idx="84">
                  <c:v>784</c:v>
                </c:pt>
                <c:pt idx="85">
                  <c:v>784</c:v>
                </c:pt>
                <c:pt idx="86">
                  <c:v>728</c:v>
                </c:pt>
                <c:pt idx="87">
                  <c:v>728</c:v>
                </c:pt>
                <c:pt idx="88">
                  <c:v>1092</c:v>
                </c:pt>
                <c:pt idx="89">
                  <c:v>756</c:v>
                </c:pt>
                <c:pt idx="90">
                  <c:v>504</c:v>
                </c:pt>
                <c:pt idx="91">
                  <c:v>784</c:v>
                </c:pt>
                <c:pt idx="92">
                  <c:v>784</c:v>
                </c:pt>
                <c:pt idx="93">
                  <c:v>728</c:v>
                </c:pt>
                <c:pt idx="94">
                  <c:v>728</c:v>
                </c:pt>
                <c:pt idx="95">
                  <c:v>1092</c:v>
                </c:pt>
                <c:pt idx="96">
                  <c:v>756</c:v>
                </c:pt>
                <c:pt idx="97">
                  <c:v>504</c:v>
                </c:pt>
              </c:numCache>
            </c:numRef>
          </c:val>
          <c:smooth val="0"/>
          <c:extLst>
            <c:ext xmlns:c16="http://schemas.microsoft.com/office/drawing/2014/chart" uri="{C3380CC4-5D6E-409C-BE32-E72D297353CC}">
              <c16:uniqueId val="{0000000A-E224-4A14-B896-1ADDE78F65D6}"/>
            </c:ext>
          </c:extLst>
        </c:ser>
        <c:ser>
          <c:idx val="1"/>
          <c:order val="1"/>
          <c:tx>
            <c:strRef>
              <c:f>Pivot!$U$44:$U$45</c:f>
              <c:strCache>
                <c:ptCount val="1"/>
                <c:pt idx="0">
                  <c:v>Manager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Pivot!$S$46:$S$144</c:f>
              <c:strCache>
                <c:ptCount val="98"/>
                <c:pt idx="0">
                  <c:v>29/12/2025</c:v>
                </c:pt>
                <c:pt idx="1">
                  <c:v>30/12/2025</c:v>
                </c:pt>
                <c:pt idx="2">
                  <c:v>31/12/2025</c:v>
                </c:pt>
                <c:pt idx="3">
                  <c:v>1/01/2026</c:v>
                </c:pt>
                <c:pt idx="4">
                  <c:v>2/01/2026</c:v>
                </c:pt>
                <c:pt idx="5">
                  <c:v>3/01/2026</c:v>
                </c:pt>
                <c:pt idx="6">
                  <c:v>4/01/2026</c:v>
                </c:pt>
                <c:pt idx="7">
                  <c:v>5/01/2026</c:v>
                </c:pt>
                <c:pt idx="8">
                  <c:v>6/01/2026</c:v>
                </c:pt>
                <c:pt idx="9">
                  <c:v>7/01/2026</c:v>
                </c:pt>
                <c:pt idx="10">
                  <c:v>8/01/2026</c:v>
                </c:pt>
                <c:pt idx="11">
                  <c:v>9/01/2026</c:v>
                </c:pt>
                <c:pt idx="12">
                  <c:v>10/01/2026</c:v>
                </c:pt>
                <c:pt idx="13">
                  <c:v>11/01/2026</c:v>
                </c:pt>
                <c:pt idx="14">
                  <c:v>12/01/2026</c:v>
                </c:pt>
                <c:pt idx="15">
                  <c:v>13/01/2026</c:v>
                </c:pt>
                <c:pt idx="16">
                  <c:v>14/01/2026</c:v>
                </c:pt>
                <c:pt idx="17">
                  <c:v>15/01/2026</c:v>
                </c:pt>
                <c:pt idx="18">
                  <c:v>16/01/2026</c:v>
                </c:pt>
                <c:pt idx="19">
                  <c:v>17/01/2026</c:v>
                </c:pt>
                <c:pt idx="20">
                  <c:v>18/01/2026</c:v>
                </c:pt>
                <c:pt idx="21">
                  <c:v>19/01/2026</c:v>
                </c:pt>
                <c:pt idx="22">
                  <c:v>20/01/2026</c:v>
                </c:pt>
                <c:pt idx="23">
                  <c:v>21/01/2026</c:v>
                </c:pt>
                <c:pt idx="24">
                  <c:v>22/01/2026</c:v>
                </c:pt>
                <c:pt idx="25">
                  <c:v>23/01/2026</c:v>
                </c:pt>
                <c:pt idx="26">
                  <c:v>24/01/2026</c:v>
                </c:pt>
                <c:pt idx="27">
                  <c:v>25/01/2026</c:v>
                </c:pt>
                <c:pt idx="28">
                  <c:v>26/01/2026</c:v>
                </c:pt>
                <c:pt idx="29">
                  <c:v>27/01/2026</c:v>
                </c:pt>
                <c:pt idx="30">
                  <c:v>28/01/2026</c:v>
                </c:pt>
                <c:pt idx="31">
                  <c:v>29/01/2026</c:v>
                </c:pt>
                <c:pt idx="32">
                  <c:v>30/01/2026</c:v>
                </c:pt>
                <c:pt idx="33">
                  <c:v>31/01/2026</c:v>
                </c:pt>
                <c:pt idx="34">
                  <c:v>1/02/2026</c:v>
                </c:pt>
                <c:pt idx="35">
                  <c:v>2/02/2026</c:v>
                </c:pt>
                <c:pt idx="36">
                  <c:v>3/02/2026</c:v>
                </c:pt>
                <c:pt idx="37">
                  <c:v>4/02/2026</c:v>
                </c:pt>
                <c:pt idx="38">
                  <c:v>5/02/2026</c:v>
                </c:pt>
                <c:pt idx="39">
                  <c:v>6/02/2026</c:v>
                </c:pt>
                <c:pt idx="40">
                  <c:v>7/02/2026</c:v>
                </c:pt>
                <c:pt idx="41">
                  <c:v>8/02/2026</c:v>
                </c:pt>
                <c:pt idx="42">
                  <c:v>9/02/2026</c:v>
                </c:pt>
                <c:pt idx="43">
                  <c:v>10/02/2026</c:v>
                </c:pt>
                <c:pt idx="44">
                  <c:v>11/02/2026</c:v>
                </c:pt>
                <c:pt idx="45">
                  <c:v>12/02/2026</c:v>
                </c:pt>
                <c:pt idx="46">
                  <c:v>13/02/2026</c:v>
                </c:pt>
                <c:pt idx="47">
                  <c:v>14/02/2026</c:v>
                </c:pt>
                <c:pt idx="48">
                  <c:v>15/02/2026</c:v>
                </c:pt>
                <c:pt idx="49">
                  <c:v>16/02/2026</c:v>
                </c:pt>
                <c:pt idx="50">
                  <c:v>17/02/2026</c:v>
                </c:pt>
                <c:pt idx="51">
                  <c:v>18/02/2026</c:v>
                </c:pt>
                <c:pt idx="52">
                  <c:v>19/02/2026</c:v>
                </c:pt>
                <c:pt idx="53">
                  <c:v>20/02/2026</c:v>
                </c:pt>
                <c:pt idx="54">
                  <c:v>21/02/2026</c:v>
                </c:pt>
                <c:pt idx="55">
                  <c:v>22/02/2026</c:v>
                </c:pt>
                <c:pt idx="56">
                  <c:v>23/02/2026</c:v>
                </c:pt>
                <c:pt idx="57">
                  <c:v>24/02/2026</c:v>
                </c:pt>
                <c:pt idx="58">
                  <c:v>25/02/2026</c:v>
                </c:pt>
                <c:pt idx="59">
                  <c:v>26/02/2026</c:v>
                </c:pt>
                <c:pt idx="60">
                  <c:v>27/02/2026</c:v>
                </c:pt>
                <c:pt idx="61">
                  <c:v>28/02/2026</c:v>
                </c:pt>
                <c:pt idx="62">
                  <c:v>1/03/2026</c:v>
                </c:pt>
                <c:pt idx="63">
                  <c:v>2/03/2026</c:v>
                </c:pt>
                <c:pt idx="64">
                  <c:v>3/03/2026</c:v>
                </c:pt>
                <c:pt idx="65">
                  <c:v>4/03/2026</c:v>
                </c:pt>
                <c:pt idx="66">
                  <c:v>5/03/2026</c:v>
                </c:pt>
                <c:pt idx="67">
                  <c:v>6/03/2026</c:v>
                </c:pt>
                <c:pt idx="68">
                  <c:v>7/03/2026</c:v>
                </c:pt>
                <c:pt idx="69">
                  <c:v>8/03/2026</c:v>
                </c:pt>
                <c:pt idx="70">
                  <c:v>9/03/2026</c:v>
                </c:pt>
                <c:pt idx="71">
                  <c:v>10/03/2026</c:v>
                </c:pt>
                <c:pt idx="72">
                  <c:v>11/03/2026</c:v>
                </c:pt>
                <c:pt idx="73">
                  <c:v>12/03/2026</c:v>
                </c:pt>
                <c:pt idx="74">
                  <c:v>13/03/2026</c:v>
                </c:pt>
                <c:pt idx="75">
                  <c:v>14/03/2026</c:v>
                </c:pt>
                <c:pt idx="76">
                  <c:v>15/03/2026</c:v>
                </c:pt>
                <c:pt idx="77">
                  <c:v>16/03/2026</c:v>
                </c:pt>
                <c:pt idx="78">
                  <c:v>17/03/2026</c:v>
                </c:pt>
                <c:pt idx="79">
                  <c:v>18/03/2026</c:v>
                </c:pt>
                <c:pt idx="80">
                  <c:v>19/03/2026</c:v>
                </c:pt>
                <c:pt idx="81">
                  <c:v>20/03/2026</c:v>
                </c:pt>
                <c:pt idx="82">
                  <c:v>21/03/2026</c:v>
                </c:pt>
                <c:pt idx="83">
                  <c:v>22/03/2026</c:v>
                </c:pt>
                <c:pt idx="84">
                  <c:v>23/03/2026</c:v>
                </c:pt>
                <c:pt idx="85">
                  <c:v>24/03/2026</c:v>
                </c:pt>
                <c:pt idx="86">
                  <c:v>25/03/2026</c:v>
                </c:pt>
                <c:pt idx="87">
                  <c:v>26/03/2026</c:v>
                </c:pt>
                <c:pt idx="88">
                  <c:v>27/03/2026</c:v>
                </c:pt>
                <c:pt idx="89">
                  <c:v>28/03/2026</c:v>
                </c:pt>
                <c:pt idx="90">
                  <c:v>29/03/2026</c:v>
                </c:pt>
                <c:pt idx="91">
                  <c:v>30/03/2026</c:v>
                </c:pt>
                <c:pt idx="92">
                  <c:v>31/03/2026</c:v>
                </c:pt>
                <c:pt idx="93">
                  <c:v>1/04/2026</c:v>
                </c:pt>
                <c:pt idx="94">
                  <c:v>2/04/2026</c:v>
                </c:pt>
                <c:pt idx="95">
                  <c:v>3/04/2026</c:v>
                </c:pt>
                <c:pt idx="96">
                  <c:v>4/04/2026</c:v>
                </c:pt>
                <c:pt idx="97">
                  <c:v>5/04/2026</c:v>
                </c:pt>
              </c:strCache>
            </c:strRef>
          </c:cat>
          <c:val>
            <c:numRef>
              <c:f>Pivot!$U$46:$U$144</c:f>
              <c:numCache>
                <c:formatCode>General</c:formatCode>
                <c:ptCount val="98"/>
                <c:pt idx="0">
                  <c:v>385</c:v>
                </c:pt>
                <c:pt idx="1">
                  <c:v>325</c:v>
                </c:pt>
                <c:pt idx="2">
                  <c:v>350</c:v>
                </c:pt>
                <c:pt idx="3">
                  <c:v>1120</c:v>
                </c:pt>
                <c:pt idx="4">
                  <c:v>560</c:v>
                </c:pt>
                <c:pt idx="5">
                  <c:v>765</c:v>
                </c:pt>
                <c:pt idx="6">
                  <c:v>525</c:v>
                </c:pt>
                <c:pt idx="7">
                  <c:v>0</c:v>
                </c:pt>
                <c:pt idx="8">
                  <c:v>0</c:v>
                </c:pt>
                <c:pt idx="9">
                  <c:v>0</c:v>
                </c:pt>
                <c:pt idx="10">
                  <c:v>0</c:v>
                </c:pt>
                <c:pt idx="11">
                  <c:v>560</c:v>
                </c:pt>
                <c:pt idx="12">
                  <c:v>765</c:v>
                </c:pt>
                <c:pt idx="13">
                  <c:v>525</c:v>
                </c:pt>
                <c:pt idx="14">
                  <c:v>385</c:v>
                </c:pt>
                <c:pt idx="15">
                  <c:v>385</c:v>
                </c:pt>
                <c:pt idx="16">
                  <c:v>325</c:v>
                </c:pt>
                <c:pt idx="17">
                  <c:v>350</c:v>
                </c:pt>
                <c:pt idx="18">
                  <c:v>560</c:v>
                </c:pt>
                <c:pt idx="19">
                  <c:v>765</c:v>
                </c:pt>
                <c:pt idx="20">
                  <c:v>525</c:v>
                </c:pt>
                <c:pt idx="21">
                  <c:v>385</c:v>
                </c:pt>
                <c:pt idx="22">
                  <c:v>385</c:v>
                </c:pt>
                <c:pt idx="23">
                  <c:v>325</c:v>
                </c:pt>
                <c:pt idx="24">
                  <c:v>350</c:v>
                </c:pt>
                <c:pt idx="25">
                  <c:v>560</c:v>
                </c:pt>
                <c:pt idx="26">
                  <c:v>765</c:v>
                </c:pt>
                <c:pt idx="27">
                  <c:v>525</c:v>
                </c:pt>
                <c:pt idx="28">
                  <c:v>385</c:v>
                </c:pt>
                <c:pt idx="29">
                  <c:v>385</c:v>
                </c:pt>
                <c:pt idx="30">
                  <c:v>325</c:v>
                </c:pt>
                <c:pt idx="31">
                  <c:v>350</c:v>
                </c:pt>
                <c:pt idx="32">
                  <c:v>560</c:v>
                </c:pt>
                <c:pt idx="33">
                  <c:v>765</c:v>
                </c:pt>
                <c:pt idx="34">
                  <c:v>525</c:v>
                </c:pt>
                <c:pt idx="35">
                  <c:v>385</c:v>
                </c:pt>
                <c:pt idx="36">
                  <c:v>385</c:v>
                </c:pt>
                <c:pt idx="37">
                  <c:v>325</c:v>
                </c:pt>
                <c:pt idx="38">
                  <c:v>350</c:v>
                </c:pt>
                <c:pt idx="39">
                  <c:v>560</c:v>
                </c:pt>
                <c:pt idx="40">
                  <c:v>765</c:v>
                </c:pt>
                <c:pt idx="41">
                  <c:v>525</c:v>
                </c:pt>
                <c:pt idx="42">
                  <c:v>385</c:v>
                </c:pt>
                <c:pt idx="43">
                  <c:v>385</c:v>
                </c:pt>
                <c:pt idx="44">
                  <c:v>325</c:v>
                </c:pt>
                <c:pt idx="45">
                  <c:v>350</c:v>
                </c:pt>
                <c:pt idx="46">
                  <c:v>560</c:v>
                </c:pt>
                <c:pt idx="47">
                  <c:v>765</c:v>
                </c:pt>
                <c:pt idx="48">
                  <c:v>525</c:v>
                </c:pt>
                <c:pt idx="49">
                  <c:v>385</c:v>
                </c:pt>
                <c:pt idx="50">
                  <c:v>385</c:v>
                </c:pt>
                <c:pt idx="51">
                  <c:v>325</c:v>
                </c:pt>
                <c:pt idx="52">
                  <c:v>350</c:v>
                </c:pt>
                <c:pt idx="53">
                  <c:v>560</c:v>
                </c:pt>
                <c:pt idx="54">
                  <c:v>765</c:v>
                </c:pt>
                <c:pt idx="55">
                  <c:v>525</c:v>
                </c:pt>
                <c:pt idx="56">
                  <c:v>385</c:v>
                </c:pt>
                <c:pt idx="57">
                  <c:v>560</c:v>
                </c:pt>
                <c:pt idx="58">
                  <c:v>325</c:v>
                </c:pt>
                <c:pt idx="59">
                  <c:v>350</c:v>
                </c:pt>
                <c:pt idx="60">
                  <c:v>840</c:v>
                </c:pt>
                <c:pt idx="61">
                  <c:v>765</c:v>
                </c:pt>
                <c:pt idx="62">
                  <c:v>350</c:v>
                </c:pt>
                <c:pt idx="63">
                  <c:v>385</c:v>
                </c:pt>
                <c:pt idx="64">
                  <c:v>560</c:v>
                </c:pt>
                <c:pt idx="65">
                  <c:v>325</c:v>
                </c:pt>
                <c:pt idx="66">
                  <c:v>350</c:v>
                </c:pt>
                <c:pt idx="67">
                  <c:v>840</c:v>
                </c:pt>
                <c:pt idx="68">
                  <c:v>765</c:v>
                </c:pt>
                <c:pt idx="69">
                  <c:v>350</c:v>
                </c:pt>
                <c:pt idx="70">
                  <c:v>385</c:v>
                </c:pt>
                <c:pt idx="71">
                  <c:v>560</c:v>
                </c:pt>
                <c:pt idx="72">
                  <c:v>325</c:v>
                </c:pt>
                <c:pt idx="73">
                  <c:v>350</c:v>
                </c:pt>
                <c:pt idx="74">
                  <c:v>840</c:v>
                </c:pt>
                <c:pt idx="75">
                  <c:v>765</c:v>
                </c:pt>
                <c:pt idx="76">
                  <c:v>350</c:v>
                </c:pt>
                <c:pt idx="77">
                  <c:v>385</c:v>
                </c:pt>
                <c:pt idx="78">
                  <c:v>560</c:v>
                </c:pt>
                <c:pt idx="79">
                  <c:v>770</c:v>
                </c:pt>
                <c:pt idx="80">
                  <c:v>560</c:v>
                </c:pt>
                <c:pt idx="81">
                  <c:v>840</c:v>
                </c:pt>
                <c:pt idx="82">
                  <c:v>675</c:v>
                </c:pt>
                <c:pt idx="83">
                  <c:v>560</c:v>
                </c:pt>
                <c:pt idx="84">
                  <c:v>385</c:v>
                </c:pt>
                <c:pt idx="85">
                  <c:v>560</c:v>
                </c:pt>
                <c:pt idx="86">
                  <c:v>385</c:v>
                </c:pt>
                <c:pt idx="87">
                  <c:v>350</c:v>
                </c:pt>
                <c:pt idx="88">
                  <c:v>525</c:v>
                </c:pt>
                <c:pt idx="89">
                  <c:v>675</c:v>
                </c:pt>
                <c:pt idx="90">
                  <c:v>560</c:v>
                </c:pt>
                <c:pt idx="91">
                  <c:v>385</c:v>
                </c:pt>
                <c:pt idx="92">
                  <c:v>560</c:v>
                </c:pt>
                <c:pt idx="93">
                  <c:v>325</c:v>
                </c:pt>
                <c:pt idx="94">
                  <c:v>350</c:v>
                </c:pt>
                <c:pt idx="95">
                  <c:v>525</c:v>
                </c:pt>
                <c:pt idx="96">
                  <c:v>450</c:v>
                </c:pt>
                <c:pt idx="97">
                  <c:v>350</c:v>
                </c:pt>
              </c:numCache>
            </c:numRef>
          </c:val>
          <c:smooth val="0"/>
          <c:extLst>
            <c:ext xmlns:c16="http://schemas.microsoft.com/office/drawing/2014/chart" uri="{C3380CC4-5D6E-409C-BE32-E72D297353CC}">
              <c16:uniqueId val="{00000001-C6B8-46DA-982D-E6B109884446}"/>
            </c:ext>
          </c:extLst>
        </c:ser>
        <c:ser>
          <c:idx val="2"/>
          <c:order val="2"/>
          <c:tx>
            <c:strRef>
              <c:f>Pivot!$V$44:$V$45</c:f>
              <c:strCache>
                <c:ptCount val="1"/>
                <c:pt idx="0">
                  <c:v>Server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Pivot!$S$46:$S$144</c:f>
              <c:strCache>
                <c:ptCount val="98"/>
                <c:pt idx="0">
                  <c:v>29/12/2025</c:v>
                </c:pt>
                <c:pt idx="1">
                  <c:v>30/12/2025</c:v>
                </c:pt>
                <c:pt idx="2">
                  <c:v>31/12/2025</c:v>
                </c:pt>
                <c:pt idx="3">
                  <c:v>1/01/2026</c:v>
                </c:pt>
                <c:pt idx="4">
                  <c:v>2/01/2026</c:v>
                </c:pt>
                <c:pt idx="5">
                  <c:v>3/01/2026</c:v>
                </c:pt>
                <c:pt idx="6">
                  <c:v>4/01/2026</c:v>
                </c:pt>
                <c:pt idx="7">
                  <c:v>5/01/2026</c:v>
                </c:pt>
                <c:pt idx="8">
                  <c:v>6/01/2026</c:v>
                </c:pt>
                <c:pt idx="9">
                  <c:v>7/01/2026</c:v>
                </c:pt>
                <c:pt idx="10">
                  <c:v>8/01/2026</c:v>
                </c:pt>
                <c:pt idx="11">
                  <c:v>9/01/2026</c:v>
                </c:pt>
                <c:pt idx="12">
                  <c:v>10/01/2026</c:v>
                </c:pt>
                <c:pt idx="13">
                  <c:v>11/01/2026</c:v>
                </c:pt>
                <c:pt idx="14">
                  <c:v>12/01/2026</c:v>
                </c:pt>
                <c:pt idx="15">
                  <c:v>13/01/2026</c:v>
                </c:pt>
                <c:pt idx="16">
                  <c:v>14/01/2026</c:v>
                </c:pt>
                <c:pt idx="17">
                  <c:v>15/01/2026</c:v>
                </c:pt>
                <c:pt idx="18">
                  <c:v>16/01/2026</c:v>
                </c:pt>
                <c:pt idx="19">
                  <c:v>17/01/2026</c:v>
                </c:pt>
                <c:pt idx="20">
                  <c:v>18/01/2026</c:v>
                </c:pt>
                <c:pt idx="21">
                  <c:v>19/01/2026</c:v>
                </c:pt>
                <c:pt idx="22">
                  <c:v>20/01/2026</c:v>
                </c:pt>
                <c:pt idx="23">
                  <c:v>21/01/2026</c:v>
                </c:pt>
                <c:pt idx="24">
                  <c:v>22/01/2026</c:v>
                </c:pt>
                <c:pt idx="25">
                  <c:v>23/01/2026</c:v>
                </c:pt>
                <c:pt idx="26">
                  <c:v>24/01/2026</c:v>
                </c:pt>
                <c:pt idx="27">
                  <c:v>25/01/2026</c:v>
                </c:pt>
                <c:pt idx="28">
                  <c:v>26/01/2026</c:v>
                </c:pt>
                <c:pt idx="29">
                  <c:v>27/01/2026</c:v>
                </c:pt>
                <c:pt idx="30">
                  <c:v>28/01/2026</c:v>
                </c:pt>
                <c:pt idx="31">
                  <c:v>29/01/2026</c:v>
                </c:pt>
                <c:pt idx="32">
                  <c:v>30/01/2026</c:v>
                </c:pt>
                <c:pt idx="33">
                  <c:v>31/01/2026</c:v>
                </c:pt>
                <c:pt idx="34">
                  <c:v>1/02/2026</c:v>
                </c:pt>
                <c:pt idx="35">
                  <c:v>2/02/2026</c:v>
                </c:pt>
                <c:pt idx="36">
                  <c:v>3/02/2026</c:v>
                </c:pt>
                <c:pt idx="37">
                  <c:v>4/02/2026</c:v>
                </c:pt>
                <c:pt idx="38">
                  <c:v>5/02/2026</c:v>
                </c:pt>
                <c:pt idx="39">
                  <c:v>6/02/2026</c:v>
                </c:pt>
                <c:pt idx="40">
                  <c:v>7/02/2026</c:v>
                </c:pt>
                <c:pt idx="41">
                  <c:v>8/02/2026</c:v>
                </c:pt>
                <c:pt idx="42">
                  <c:v>9/02/2026</c:v>
                </c:pt>
                <c:pt idx="43">
                  <c:v>10/02/2026</c:v>
                </c:pt>
                <c:pt idx="44">
                  <c:v>11/02/2026</c:v>
                </c:pt>
                <c:pt idx="45">
                  <c:v>12/02/2026</c:v>
                </c:pt>
                <c:pt idx="46">
                  <c:v>13/02/2026</c:v>
                </c:pt>
                <c:pt idx="47">
                  <c:v>14/02/2026</c:v>
                </c:pt>
                <c:pt idx="48">
                  <c:v>15/02/2026</c:v>
                </c:pt>
                <c:pt idx="49">
                  <c:v>16/02/2026</c:v>
                </c:pt>
                <c:pt idx="50">
                  <c:v>17/02/2026</c:v>
                </c:pt>
                <c:pt idx="51">
                  <c:v>18/02/2026</c:v>
                </c:pt>
                <c:pt idx="52">
                  <c:v>19/02/2026</c:v>
                </c:pt>
                <c:pt idx="53">
                  <c:v>20/02/2026</c:v>
                </c:pt>
                <c:pt idx="54">
                  <c:v>21/02/2026</c:v>
                </c:pt>
                <c:pt idx="55">
                  <c:v>22/02/2026</c:v>
                </c:pt>
                <c:pt idx="56">
                  <c:v>23/02/2026</c:v>
                </c:pt>
                <c:pt idx="57">
                  <c:v>24/02/2026</c:v>
                </c:pt>
                <c:pt idx="58">
                  <c:v>25/02/2026</c:v>
                </c:pt>
                <c:pt idx="59">
                  <c:v>26/02/2026</c:v>
                </c:pt>
                <c:pt idx="60">
                  <c:v>27/02/2026</c:v>
                </c:pt>
                <c:pt idx="61">
                  <c:v>28/02/2026</c:v>
                </c:pt>
                <c:pt idx="62">
                  <c:v>1/03/2026</c:v>
                </c:pt>
                <c:pt idx="63">
                  <c:v>2/03/2026</c:v>
                </c:pt>
                <c:pt idx="64">
                  <c:v>3/03/2026</c:v>
                </c:pt>
                <c:pt idx="65">
                  <c:v>4/03/2026</c:v>
                </c:pt>
                <c:pt idx="66">
                  <c:v>5/03/2026</c:v>
                </c:pt>
                <c:pt idx="67">
                  <c:v>6/03/2026</c:v>
                </c:pt>
                <c:pt idx="68">
                  <c:v>7/03/2026</c:v>
                </c:pt>
                <c:pt idx="69">
                  <c:v>8/03/2026</c:v>
                </c:pt>
                <c:pt idx="70">
                  <c:v>9/03/2026</c:v>
                </c:pt>
                <c:pt idx="71">
                  <c:v>10/03/2026</c:v>
                </c:pt>
                <c:pt idx="72">
                  <c:v>11/03/2026</c:v>
                </c:pt>
                <c:pt idx="73">
                  <c:v>12/03/2026</c:v>
                </c:pt>
                <c:pt idx="74">
                  <c:v>13/03/2026</c:v>
                </c:pt>
                <c:pt idx="75">
                  <c:v>14/03/2026</c:v>
                </c:pt>
                <c:pt idx="76">
                  <c:v>15/03/2026</c:v>
                </c:pt>
                <c:pt idx="77">
                  <c:v>16/03/2026</c:v>
                </c:pt>
                <c:pt idx="78">
                  <c:v>17/03/2026</c:v>
                </c:pt>
                <c:pt idx="79">
                  <c:v>18/03/2026</c:v>
                </c:pt>
                <c:pt idx="80">
                  <c:v>19/03/2026</c:v>
                </c:pt>
                <c:pt idx="81">
                  <c:v>20/03/2026</c:v>
                </c:pt>
                <c:pt idx="82">
                  <c:v>21/03/2026</c:v>
                </c:pt>
                <c:pt idx="83">
                  <c:v>22/03/2026</c:v>
                </c:pt>
                <c:pt idx="84">
                  <c:v>23/03/2026</c:v>
                </c:pt>
                <c:pt idx="85">
                  <c:v>24/03/2026</c:v>
                </c:pt>
                <c:pt idx="86">
                  <c:v>25/03/2026</c:v>
                </c:pt>
                <c:pt idx="87">
                  <c:v>26/03/2026</c:v>
                </c:pt>
                <c:pt idx="88">
                  <c:v>27/03/2026</c:v>
                </c:pt>
                <c:pt idx="89">
                  <c:v>28/03/2026</c:v>
                </c:pt>
                <c:pt idx="90">
                  <c:v>29/03/2026</c:v>
                </c:pt>
                <c:pt idx="91">
                  <c:v>30/03/2026</c:v>
                </c:pt>
                <c:pt idx="92">
                  <c:v>31/03/2026</c:v>
                </c:pt>
                <c:pt idx="93">
                  <c:v>1/04/2026</c:v>
                </c:pt>
                <c:pt idx="94">
                  <c:v>2/04/2026</c:v>
                </c:pt>
                <c:pt idx="95">
                  <c:v>3/04/2026</c:v>
                </c:pt>
                <c:pt idx="96">
                  <c:v>4/04/2026</c:v>
                </c:pt>
                <c:pt idx="97">
                  <c:v>5/04/2026</c:v>
                </c:pt>
              </c:strCache>
            </c:strRef>
          </c:cat>
          <c:val>
            <c:numRef>
              <c:f>Pivot!$V$46:$V$144</c:f>
              <c:numCache>
                <c:formatCode>General</c:formatCode>
                <c:ptCount val="98"/>
                <c:pt idx="0">
                  <c:v>470</c:v>
                </c:pt>
                <c:pt idx="1">
                  <c:v>470</c:v>
                </c:pt>
                <c:pt idx="2">
                  <c:v>395</c:v>
                </c:pt>
                <c:pt idx="3">
                  <c:v>970</c:v>
                </c:pt>
                <c:pt idx="4">
                  <c:v>485</c:v>
                </c:pt>
                <c:pt idx="5">
                  <c:v>592.5</c:v>
                </c:pt>
                <c:pt idx="6">
                  <c:v>592.49999999999989</c:v>
                </c:pt>
                <c:pt idx="7">
                  <c:v>0</c:v>
                </c:pt>
                <c:pt idx="8">
                  <c:v>0</c:v>
                </c:pt>
                <c:pt idx="9">
                  <c:v>0</c:v>
                </c:pt>
                <c:pt idx="10">
                  <c:v>0</c:v>
                </c:pt>
                <c:pt idx="11">
                  <c:v>485</c:v>
                </c:pt>
                <c:pt idx="12">
                  <c:v>592.5</c:v>
                </c:pt>
                <c:pt idx="13">
                  <c:v>592.49999999999989</c:v>
                </c:pt>
                <c:pt idx="14">
                  <c:v>470</c:v>
                </c:pt>
                <c:pt idx="15">
                  <c:v>545</c:v>
                </c:pt>
                <c:pt idx="16">
                  <c:v>470</c:v>
                </c:pt>
                <c:pt idx="17">
                  <c:v>395</c:v>
                </c:pt>
                <c:pt idx="18">
                  <c:v>485</c:v>
                </c:pt>
                <c:pt idx="19">
                  <c:v>592.5</c:v>
                </c:pt>
                <c:pt idx="20">
                  <c:v>592.49999999999989</c:v>
                </c:pt>
                <c:pt idx="21">
                  <c:v>470</c:v>
                </c:pt>
                <c:pt idx="22">
                  <c:v>545</c:v>
                </c:pt>
                <c:pt idx="23">
                  <c:v>470</c:v>
                </c:pt>
                <c:pt idx="24">
                  <c:v>395</c:v>
                </c:pt>
                <c:pt idx="25">
                  <c:v>485</c:v>
                </c:pt>
                <c:pt idx="26">
                  <c:v>592.5</c:v>
                </c:pt>
                <c:pt idx="27">
                  <c:v>592.49999999999989</c:v>
                </c:pt>
                <c:pt idx="28">
                  <c:v>470</c:v>
                </c:pt>
                <c:pt idx="29">
                  <c:v>545</c:v>
                </c:pt>
                <c:pt idx="30">
                  <c:v>470</c:v>
                </c:pt>
                <c:pt idx="31">
                  <c:v>395</c:v>
                </c:pt>
                <c:pt idx="32">
                  <c:v>485</c:v>
                </c:pt>
                <c:pt idx="33">
                  <c:v>592.5</c:v>
                </c:pt>
                <c:pt idx="34">
                  <c:v>592.49999999999989</c:v>
                </c:pt>
                <c:pt idx="35">
                  <c:v>470</c:v>
                </c:pt>
                <c:pt idx="36">
                  <c:v>545</c:v>
                </c:pt>
                <c:pt idx="37">
                  <c:v>470</c:v>
                </c:pt>
                <c:pt idx="38">
                  <c:v>395</c:v>
                </c:pt>
                <c:pt idx="39">
                  <c:v>485</c:v>
                </c:pt>
                <c:pt idx="40">
                  <c:v>592.5</c:v>
                </c:pt>
                <c:pt idx="41">
                  <c:v>592.49999999999989</c:v>
                </c:pt>
                <c:pt idx="42">
                  <c:v>470</c:v>
                </c:pt>
                <c:pt idx="43">
                  <c:v>545</c:v>
                </c:pt>
                <c:pt idx="44">
                  <c:v>470</c:v>
                </c:pt>
                <c:pt idx="45">
                  <c:v>395</c:v>
                </c:pt>
                <c:pt idx="46">
                  <c:v>485</c:v>
                </c:pt>
                <c:pt idx="47">
                  <c:v>592.5</c:v>
                </c:pt>
                <c:pt idx="48">
                  <c:v>592.49999999999989</c:v>
                </c:pt>
                <c:pt idx="49">
                  <c:v>470</c:v>
                </c:pt>
                <c:pt idx="50">
                  <c:v>545</c:v>
                </c:pt>
                <c:pt idx="51">
                  <c:v>470</c:v>
                </c:pt>
                <c:pt idx="52">
                  <c:v>395</c:v>
                </c:pt>
                <c:pt idx="53">
                  <c:v>485</c:v>
                </c:pt>
                <c:pt idx="54">
                  <c:v>592.5</c:v>
                </c:pt>
                <c:pt idx="55">
                  <c:v>592.49999999999989</c:v>
                </c:pt>
                <c:pt idx="56">
                  <c:v>470</c:v>
                </c:pt>
                <c:pt idx="57">
                  <c:v>545</c:v>
                </c:pt>
                <c:pt idx="58">
                  <c:v>395</c:v>
                </c:pt>
                <c:pt idx="59">
                  <c:v>395</c:v>
                </c:pt>
                <c:pt idx="60">
                  <c:v>705</c:v>
                </c:pt>
                <c:pt idx="61">
                  <c:v>592.5</c:v>
                </c:pt>
                <c:pt idx="62">
                  <c:v>395</c:v>
                </c:pt>
                <c:pt idx="63">
                  <c:v>470</c:v>
                </c:pt>
                <c:pt idx="64">
                  <c:v>545</c:v>
                </c:pt>
                <c:pt idx="65">
                  <c:v>395</c:v>
                </c:pt>
                <c:pt idx="66">
                  <c:v>395</c:v>
                </c:pt>
                <c:pt idx="67">
                  <c:v>795</c:v>
                </c:pt>
                <c:pt idx="68">
                  <c:v>592.5</c:v>
                </c:pt>
                <c:pt idx="69">
                  <c:v>395</c:v>
                </c:pt>
                <c:pt idx="70">
                  <c:v>470</c:v>
                </c:pt>
                <c:pt idx="71">
                  <c:v>545</c:v>
                </c:pt>
                <c:pt idx="72">
                  <c:v>395</c:v>
                </c:pt>
                <c:pt idx="73">
                  <c:v>395</c:v>
                </c:pt>
                <c:pt idx="74">
                  <c:v>795</c:v>
                </c:pt>
                <c:pt idx="75">
                  <c:v>592.5</c:v>
                </c:pt>
                <c:pt idx="76">
                  <c:v>395</c:v>
                </c:pt>
                <c:pt idx="77">
                  <c:v>470</c:v>
                </c:pt>
                <c:pt idx="78">
                  <c:v>545</c:v>
                </c:pt>
                <c:pt idx="79">
                  <c:v>1110</c:v>
                </c:pt>
                <c:pt idx="80">
                  <c:v>395</c:v>
                </c:pt>
                <c:pt idx="81">
                  <c:v>705</c:v>
                </c:pt>
                <c:pt idx="82">
                  <c:v>817.5</c:v>
                </c:pt>
                <c:pt idx="83">
                  <c:v>470</c:v>
                </c:pt>
                <c:pt idx="84">
                  <c:v>470</c:v>
                </c:pt>
                <c:pt idx="85">
                  <c:v>545</c:v>
                </c:pt>
                <c:pt idx="86">
                  <c:v>555</c:v>
                </c:pt>
                <c:pt idx="87">
                  <c:v>395</c:v>
                </c:pt>
                <c:pt idx="88">
                  <c:v>705</c:v>
                </c:pt>
                <c:pt idx="89">
                  <c:v>817.5</c:v>
                </c:pt>
                <c:pt idx="90">
                  <c:v>395</c:v>
                </c:pt>
                <c:pt idx="91">
                  <c:v>470</c:v>
                </c:pt>
                <c:pt idx="92">
                  <c:v>545</c:v>
                </c:pt>
                <c:pt idx="93">
                  <c:v>395</c:v>
                </c:pt>
                <c:pt idx="94">
                  <c:v>395</c:v>
                </c:pt>
                <c:pt idx="95">
                  <c:v>705</c:v>
                </c:pt>
                <c:pt idx="96">
                  <c:v>592.5</c:v>
                </c:pt>
                <c:pt idx="97">
                  <c:v>395</c:v>
                </c:pt>
              </c:numCache>
            </c:numRef>
          </c:val>
          <c:smooth val="0"/>
          <c:extLst>
            <c:ext xmlns:c16="http://schemas.microsoft.com/office/drawing/2014/chart" uri="{C3380CC4-5D6E-409C-BE32-E72D297353CC}">
              <c16:uniqueId val="{00000002-C6B8-46DA-982D-E6B109884446}"/>
            </c:ext>
          </c:extLst>
        </c:ser>
        <c:dLbls>
          <c:showLegendKey val="0"/>
          <c:showVal val="0"/>
          <c:showCatName val="0"/>
          <c:showSerName val="0"/>
          <c:showPercent val="0"/>
          <c:showBubbleSize val="0"/>
        </c:dLbls>
        <c:marker val="1"/>
        <c:smooth val="0"/>
        <c:axId val="1939183887"/>
        <c:axId val="1939180975"/>
      </c:lineChart>
      <c:catAx>
        <c:axId val="1939183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9180975"/>
        <c:crosses val="autoZero"/>
        <c:auto val="1"/>
        <c:lblAlgn val="ctr"/>
        <c:lblOffset val="100"/>
        <c:noMultiLvlLbl val="0"/>
      </c:catAx>
      <c:valAx>
        <c:axId val="19391809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9183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0</xdr:col>
      <xdr:colOff>20705</xdr:colOff>
      <xdr:row>0</xdr:row>
      <xdr:rowOff>28576</xdr:rowOff>
    </xdr:from>
    <xdr:to>
      <xdr:col>0</xdr:col>
      <xdr:colOff>606491</xdr:colOff>
      <xdr:row>1</xdr:row>
      <xdr:rowOff>207113</xdr:rowOff>
    </xdr:to>
    <xdr:sp macro="" textlink="">
      <xdr:nvSpPr>
        <xdr:cNvPr id="3" name="Logo">
          <a:extLst>
            <a:ext uri="{FF2B5EF4-FFF2-40B4-BE49-F238E27FC236}">
              <a16:creationId xmlns:a16="http://schemas.microsoft.com/office/drawing/2014/main" id="{A51DE4F4-0491-4AB5-B7DF-5D3883C17C1F}"/>
            </a:ext>
          </a:extLst>
        </xdr:cNvPr>
        <xdr:cNvSpPr>
          <a:spLocks noChangeAspect="1"/>
        </xdr:cNvSpPr>
      </xdr:nvSpPr>
      <xdr:spPr>
        <a:xfrm>
          <a:off x="20705" y="28576"/>
          <a:ext cx="585786" cy="584385"/>
        </a:xfrm>
        <a:prstGeom prst="ellipse">
          <a:avLst/>
        </a:prstGeom>
        <a:blipFill>
          <a:blip xmlns:r="http://schemas.openxmlformats.org/officeDocument/2006/relationships" r:embed="rId1"/>
          <a:stretch>
            <a:fillRect/>
          </a:stretch>
        </a:blipFill>
        <a:ln>
          <a:solidFill>
            <a:srgbClr val="21734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609391</xdr:colOff>
      <xdr:row>0</xdr:row>
      <xdr:rowOff>0</xdr:rowOff>
    </xdr:from>
    <xdr:to>
      <xdr:col>7</xdr:col>
      <xdr:colOff>17619</xdr:colOff>
      <xdr:row>0</xdr:row>
      <xdr:rowOff>368576</xdr:rowOff>
    </xdr:to>
    <xdr:sp macro="" textlink="">
      <xdr:nvSpPr>
        <xdr:cNvPr id="4" name="AbcFunWithExcel">
          <a:extLst>
            <a:ext uri="{FF2B5EF4-FFF2-40B4-BE49-F238E27FC236}">
              <a16:creationId xmlns:a16="http://schemas.microsoft.com/office/drawing/2014/main" id="{8C227BC1-BD78-451D-A961-54EB24B45C65}"/>
            </a:ext>
          </a:extLst>
        </xdr:cNvPr>
        <xdr:cNvSpPr txBox="1">
          <a:spLocks noChangeAspect="1"/>
        </xdr:cNvSpPr>
      </xdr:nvSpPr>
      <xdr:spPr>
        <a:xfrm>
          <a:off x="609391" y="0"/>
          <a:ext cx="3139064" cy="368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Abc</a:t>
          </a:r>
          <a:r>
            <a:rPr lang="en-US" sz="2400" b="1" baseline="0"/>
            <a:t> Fun With Excel</a:t>
          </a:r>
          <a:endParaRPr lang="en-US" sz="2400" b="1"/>
        </a:p>
      </xdr:txBody>
    </xdr:sp>
    <xdr:clientData/>
  </xdr:twoCellAnchor>
  <xdr:twoCellAnchor editAs="absolute">
    <xdr:from>
      <xdr:col>0</xdr:col>
      <xdr:colOff>580402</xdr:colOff>
      <xdr:row>0</xdr:row>
      <xdr:rowOff>310595</xdr:rowOff>
    </xdr:from>
    <xdr:to>
      <xdr:col>3</xdr:col>
      <xdr:colOff>381742</xdr:colOff>
      <xdr:row>1</xdr:row>
      <xdr:rowOff>183920</xdr:rowOff>
    </xdr:to>
    <xdr:sp macro="" textlink="">
      <xdr:nvSpPr>
        <xdr:cNvPr id="5" name="Please Subcribe">
          <a:extLst>
            <a:ext uri="{FF2B5EF4-FFF2-40B4-BE49-F238E27FC236}">
              <a16:creationId xmlns:a16="http://schemas.microsoft.com/office/drawing/2014/main" id="{671B5341-76E5-4AD0-ADEE-68E44D68AFBA}"/>
            </a:ext>
          </a:extLst>
        </xdr:cNvPr>
        <xdr:cNvSpPr txBox="1">
          <a:spLocks noChangeAspect="1"/>
        </xdr:cNvSpPr>
      </xdr:nvSpPr>
      <xdr:spPr>
        <a:xfrm>
          <a:off x="580402" y="310595"/>
          <a:ext cx="1952126" cy="279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solidFill>
                <a:schemeClr val="accent1"/>
              </a:solidFill>
            </a:rPr>
            <a:t>👉🏾 </a:t>
          </a:r>
          <a:r>
            <a:rPr lang="en-US" sz="1100" i="1"/>
            <a:t>Please Subscribe!!!</a:t>
          </a:r>
        </a:p>
      </xdr:txBody>
    </xdr:sp>
    <xdr:clientData/>
  </xdr:twoCellAnchor>
  <xdr:twoCellAnchor editAs="absolute">
    <xdr:from>
      <xdr:col>10</xdr:col>
      <xdr:colOff>983845</xdr:colOff>
      <xdr:row>2</xdr:row>
      <xdr:rowOff>50955</xdr:rowOff>
    </xdr:from>
    <xdr:to>
      <xdr:col>13</xdr:col>
      <xdr:colOff>716865</xdr:colOff>
      <xdr:row>6</xdr:row>
      <xdr:rowOff>24278</xdr:rowOff>
    </xdr:to>
    <mc:AlternateContent xmlns:mc="http://schemas.openxmlformats.org/markup-compatibility/2006" xmlns:sle15="http://schemas.microsoft.com/office/drawing/2012/slicer">
      <mc:Choice Requires="sle15">
        <xdr:graphicFrame macro="">
          <xdr:nvGraphicFramePr>
            <xdr:cNvPr id="2" name="RoleCategory">
              <a:extLst>
                <a:ext uri="{FF2B5EF4-FFF2-40B4-BE49-F238E27FC236}">
                  <a16:creationId xmlns:a16="http://schemas.microsoft.com/office/drawing/2014/main" id="{A262A409-37F6-4E46-AAAC-A5D81E6F49B0}"/>
                </a:ext>
              </a:extLst>
            </xdr:cNvPr>
            <xdr:cNvGraphicFramePr/>
          </xdr:nvGraphicFramePr>
          <xdr:xfrm>
            <a:off x="0" y="0"/>
            <a:ext cx="0" cy="0"/>
          </xdr:xfrm>
          <a:graphic>
            <a:graphicData uri="http://schemas.microsoft.com/office/drawing/2010/slicer">
              <sle:slicer xmlns:sle="http://schemas.microsoft.com/office/drawing/2010/slicer" name="RoleCategory"/>
            </a:graphicData>
          </a:graphic>
        </xdr:graphicFrame>
      </mc:Choice>
      <mc:Fallback xmlns="">
        <xdr:sp macro="" textlink="">
          <xdr:nvSpPr>
            <xdr:cNvPr id="0" name=""/>
            <xdr:cNvSpPr>
              <a:spLocks noTextEdit="1"/>
            </xdr:cNvSpPr>
          </xdr:nvSpPr>
          <xdr:spPr>
            <a:xfrm>
              <a:off x="6593012" y="685955"/>
              <a:ext cx="2754562" cy="69299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13</xdr:col>
      <xdr:colOff>760972</xdr:colOff>
      <xdr:row>2</xdr:row>
      <xdr:rowOff>50955</xdr:rowOff>
    </xdr:from>
    <xdr:to>
      <xdr:col>16</xdr:col>
      <xdr:colOff>52916</xdr:colOff>
      <xdr:row>6</xdr:row>
      <xdr:rowOff>26457</xdr:rowOff>
    </xdr:to>
    <mc:AlternateContent xmlns:mc="http://schemas.openxmlformats.org/markup-compatibility/2006" xmlns:sle15="http://schemas.microsoft.com/office/drawing/2012/slicer">
      <mc:Choice Requires="sle15">
        <xdr:graphicFrame macro="">
          <xdr:nvGraphicFramePr>
            <xdr:cNvPr id="6" name="FullPart">
              <a:extLst>
                <a:ext uri="{FF2B5EF4-FFF2-40B4-BE49-F238E27FC236}">
                  <a16:creationId xmlns:a16="http://schemas.microsoft.com/office/drawing/2014/main" id="{3FBA78ED-6839-4F06-AECD-BE6956C8EE24}"/>
                </a:ext>
              </a:extLst>
            </xdr:cNvPr>
            <xdr:cNvGraphicFramePr/>
          </xdr:nvGraphicFramePr>
          <xdr:xfrm>
            <a:off x="0" y="0"/>
            <a:ext cx="0" cy="0"/>
          </xdr:xfrm>
          <a:graphic>
            <a:graphicData uri="http://schemas.microsoft.com/office/drawing/2010/slicer">
              <sle:slicer xmlns:sle="http://schemas.microsoft.com/office/drawing/2010/slicer" name="FullPart"/>
            </a:graphicData>
          </a:graphic>
        </xdr:graphicFrame>
      </mc:Choice>
      <mc:Fallback xmlns="">
        <xdr:sp macro="" textlink="">
          <xdr:nvSpPr>
            <xdr:cNvPr id="0" name=""/>
            <xdr:cNvSpPr>
              <a:spLocks noTextEdit="1"/>
            </xdr:cNvSpPr>
          </xdr:nvSpPr>
          <xdr:spPr>
            <a:xfrm>
              <a:off x="9391681" y="685955"/>
              <a:ext cx="2339944" cy="69516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408081</xdr:colOff>
      <xdr:row>3</xdr:row>
      <xdr:rowOff>0</xdr:rowOff>
    </xdr:from>
    <xdr:to>
      <xdr:col>9</xdr:col>
      <xdr:colOff>381478</xdr:colOff>
      <xdr:row>5</xdr:row>
      <xdr:rowOff>86752</xdr:rowOff>
    </xdr:to>
    <xdr:sp macro="[0]!btnArchiveData_Click" textlink="">
      <xdr:nvSpPr>
        <xdr:cNvPr id="7" name="Rectangle: Rounded Corners 6">
          <a:extLst>
            <a:ext uri="{FF2B5EF4-FFF2-40B4-BE49-F238E27FC236}">
              <a16:creationId xmlns:a16="http://schemas.microsoft.com/office/drawing/2014/main" id="{64AF0C34-4DA0-400F-86EB-B4418F714650}"/>
            </a:ext>
          </a:extLst>
        </xdr:cNvPr>
        <xdr:cNvSpPr/>
      </xdr:nvSpPr>
      <xdr:spPr>
        <a:xfrm>
          <a:off x="3339353" y="812427"/>
          <a:ext cx="1822680" cy="445340"/>
        </a:xfrm>
        <a:prstGeom prst="roundRect">
          <a:avLst/>
        </a:prstGeom>
        <a:ln>
          <a:headEnd type="none" w="med" len="med"/>
          <a:tailEnd type="none" w="med" len="med"/>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b="1" baseline="0"/>
            <a:t>✔️ </a:t>
          </a:r>
          <a:r>
            <a:rPr lang="en-US" sz="1100" b="1"/>
            <a:t>Archive</a:t>
          </a:r>
          <a:r>
            <a:rPr lang="en-US" sz="1100" b="1" baseline="0"/>
            <a:t> Data</a:t>
          </a:r>
          <a:endParaRPr lang="en-US" sz="1100" b="1"/>
        </a:p>
      </xdr:txBody>
    </xdr:sp>
    <xdr:clientData/>
  </xdr:twoCellAnchor>
  <xdr:twoCellAnchor editAs="absolute">
    <xdr:from>
      <xdr:col>7</xdr:col>
      <xdr:colOff>349042</xdr:colOff>
      <xdr:row>0</xdr:row>
      <xdr:rowOff>115358</xdr:rowOff>
    </xdr:from>
    <xdr:to>
      <xdr:col>14</xdr:col>
      <xdr:colOff>10583</xdr:colOff>
      <xdr:row>1</xdr:row>
      <xdr:rowOff>76475</xdr:rowOff>
    </xdr:to>
    <xdr:sp macro="" textlink="">
      <xdr:nvSpPr>
        <xdr:cNvPr id="8" name="AbcFunWithExcel">
          <a:extLst>
            <a:ext uri="{FF2B5EF4-FFF2-40B4-BE49-F238E27FC236}">
              <a16:creationId xmlns:a16="http://schemas.microsoft.com/office/drawing/2014/main" id="{150F25AC-6149-4B51-876E-FB7DCA0A9523}"/>
            </a:ext>
          </a:extLst>
        </xdr:cNvPr>
        <xdr:cNvSpPr txBox="1">
          <a:spLocks noChangeAspect="1"/>
        </xdr:cNvSpPr>
      </xdr:nvSpPr>
      <xdr:spPr>
        <a:xfrm>
          <a:off x="4074375" y="115358"/>
          <a:ext cx="5582917" cy="368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tx2"/>
              </a:solidFill>
            </a:rPr>
            <a:t>Employee Shift</a:t>
          </a:r>
          <a:r>
            <a:rPr lang="en-US" sz="2400" b="1" baseline="0">
              <a:solidFill>
                <a:schemeClr val="tx2"/>
              </a:solidFill>
            </a:rPr>
            <a:t> Management</a:t>
          </a:r>
          <a:endParaRPr lang="en-US" sz="2400" b="1">
            <a:solidFill>
              <a:schemeClr val="tx2"/>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641902</xdr:colOff>
      <xdr:row>1</xdr:row>
      <xdr:rowOff>157369</xdr:rowOff>
    </xdr:from>
    <xdr:to>
      <xdr:col>2</xdr:col>
      <xdr:colOff>12423</xdr:colOff>
      <xdr:row>3</xdr:row>
      <xdr:rowOff>140804</xdr:rowOff>
    </xdr:to>
    <xdr:sp macro="[0]!btnNewStaff_Click" textlink="">
      <xdr:nvSpPr>
        <xdr:cNvPr id="2" name="Rectangle: Rounded Corners 1">
          <a:extLst>
            <a:ext uri="{FF2B5EF4-FFF2-40B4-BE49-F238E27FC236}">
              <a16:creationId xmlns:a16="http://schemas.microsoft.com/office/drawing/2014/main" id="{00C85AF8-86CE-4CC9-9EB8-6047873B6A91}"/>
            </a:ext>
          </a:extLst>
        </xdr:cNvPr>
        <xdr:cNvSpPr/>
      </xdr:nvSpPr>
      <xdr:spPr>
        <a:xfrm>
          <a:off x="641902" y="409989"/>
          <a:ext cx="1577837" cy="352011"/>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b="1"/>
            <a:t>➕ New Staff</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147638</xdr:colOff>
      <xdr:row>0</xdr:row>
      <xdr:rowOff>71438</xdr:rowOff>
    </xdr:from>
    <xdr:to>
      <xdr:col>1</xdr:col>
      <xdr:colOff>691124</xdr:colOff>
      <xdr:row>4</xdr:row>
      <xdr:rowOff>165992</xdr:rowOff>
    </xdr:to>
    <xdr:sp macro="" textlink="">
      <xdr:nvSpPr>
        <xdr:cNvPr id="2" name="Logo">
          <a:extLst>
            <a:ext uri="{FF2B5EF4-FFF2-40B4-BE49-F238E27FC236}">
              <a16:creationId xmlns:a16="http://schemas.microsoft.com/office/drawing/2014/main" id="{94C75E61-FFDB-4256-AC46-A9782461BC70}"/>
            </a:ext>
          </a:extLst>
        </xdr:cNvPr>
        <xdr:cNvSpPr>
          <a:spLocks noChangeAspect="1"/>
        </xdr:cNvSpPr>
      </xdr:nvSpPr>
      <xdr:spPr>
        <a:xfrm>
          <a:off x="147638" y="71438"/>
          <a:ext cx="805424" cy="818454"/>
        </a:xfrm>
        <a:prstGeom prst="ellipse">
          <a:avLst/>
        </a:prstGeom>
        <a:blipFill>
          <a:blip xmlns:r="http://schemas.openxmlformats.org/officeDocument/2006/relationships" r:embed="rId1"/>
          <a:stretch>
            <a:fillRect/>
          </a:stretch>
        </a:blipFill>
        <a:ln>
          <a:solidFill>
            <a:srgbClr val="21734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120885</xdr:colOff>
      <xdr:row>0</xdr:row>
      <xdr:rowOff>93850</xdr:rowOff>
    </xdr:from>
    <xdr:to>
      <xdr:col>4</xdr:col>
      <xdr:colOff>542225</xdr:colOff>
      <xdr:row>2</xdr:row>
      <xdr:rowOff>105379</xdr:rowOff>
    </xdr:to>
    <xdr:sp macro="" textlink="">
      <xdr:nvSpPr>
        <xdr:cNvPr id="3" name="AbcFunWithExcel">
          <a:extLst>
            <a:ext uri="{FF2B5EF4-FFF2-40B4-BE49-F238E27FC236}">
              <a16:creationId xmlns:a16="http://schemas.microsoft.com/office/drawing/2014/main" id="{89F6D831-9C3A-4EC8-98D0-FBDEE6046289}"/>
            </a:ext>
          </a:extLst>
        </xdr:cNvPr>
        <xdr:cNvSpPr txBox="1">
          <a:spLocks noChangeAspect="1"/>
        </xdr:cNvSpPr>
      </xdr:nvSpPr>
      <xdr:spPr>
        <a:xfrm>
          <a:off x="1078148" y="93850"/>
          <a:ext cx="2878790" cy="3734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Dashboard</a:t>
          </a:r>
        </a:p>
      </xdr:txBody>
    </xdr:sp>
    <xdr:clientData/>
  </xdr:twoCellAnchor>
  <xdr:twoCellAnchor editAs="absolute">
    <xdr:from>
      <xdr:col>2</xdr:col>
      <xdr:colOff>86293</xdr:colOff>
      <xdr:row>2</xdr:row>
      <xdr:rowOff>76112</xdr:rowOff>
    </xdr:from>
    <xdr:to>
      <xdr:col>3</xdr:col>
      <xdr:colOff>1135582</xdr:colOff>
      <xdr:row>3</xdr:row>
      <xdr:rowOff>175991</xdr:rowOff>
    </xdr:to>
    <xdr:sp macro="" textlink="">
      <xdr:nvSpPr>
        <xdr:cNvPr id="4" name="Please Subcribe">
          <a:extLst>
            <a:ext uri="{FF2B5EF4-FFF2-40B4-BE49-F238E27FC236}">
              <a16:creationId xmlns:a16="http://schemas.microsoft.com/office/drawing/2014/main" id="{FAE82CFF-AD1B-49FD-BD12-E67CD1DCAEB4}"/>
            </a:ext>
          </a:extLst>
        </xdr:cNvPr>
        <xdr:cNvSpPr txBox="1">
          <a:spLocks noChangeAspect="1"/>
        </xdr:cNvSpPr>
      </xdr:nvSpPr>
      <xdr:spPr>
        <a:xfrm>
          <a:off x="1043556" y="438062"/>
          <a:ext cx="1954164" cy="280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solidFill>
                <a:schemeClr val="accent1"/>
              </a:solidFill>
            </a:rPr>
            <a:t>👉🏾 </a:t>
          </a:r>
          <a:r>
            <a:rPr lang="en-US" sz="1100" i="1"/>
            <a:t>Please Subscribe!!!</a:t>
          </a:r>
        </a:p>
      </xdr:txBody>
    </xdr:sp>
    <xdr:clientData/>
  </xdr:twoCellAnchor>
  <xdr:twoCellAnchor editAs="absolute">
    <xdr:from>
      <xdr:col>4</xdr:col>
      <xdr:colOff>9526</xdr:colOff>
      <xdr:row>0</xdr:row>
      <xdr:rowOff>147639</xdr:rowOff>
    </xdr:from>
    <xdr:to>
      <xdr:col>6</xdr:col>
      <xdr:colOff>395293</xdr:colOff>
      <xdr:row>4</xdr:row>
      <xdr:rowOff>142877</xdr:rowOff>
    </xdr:to>
    <xdr:grpSp>
      <xdr:nvGrpSpPr>
        <xdr:cNvPr id="23" name="HeadCount">
          <a:extLst>
            <a:ext uri="{FF2B5EF4-FFF2-40B4-BE49-F238E27FC236}">
              <a16:creationId xmlns:a16="http://schemas.microsoft.com/office/drawing/2014/main" id="{15CF5EEA-6F0F-4917-A312-0C57215B9EFC}"/>
            </a:ext>
          </a:extLst>
        </xdr:cNvPr>
        <xdr:cNvGrpSpPr/>
      </xdr:nvGrpSpPr>
      <xdr:grpSpPr>
        <a:xfrm>
          <a:off x="3426620" y="147639"/>
          <a:ext cx="1754986" cy="709613"/>
          <a:chOff x="3424239" y="161927"/>
          <a:chExt cx="1757367" cy="719138"/>
        </a:xfrm>
      </xdr:grpSpPr>
      <xdr:grpSp>
        <xdr:nvGrpSpPr>
          <xdr:cNvPr id="20" name="Group 19">
            <a:extLst>
              <a:ext uri="{FF2B5EF4-FFF2-40B4-BE49-F238E27FC236}">
                <a16:creationId xmlns:a16="http://schemas.microsoft.com/office/drawing/2014/main" id="{B955F098-F144-4684-873C-DFFF6CF37258}"/>
              </a:ext>
            </a:extLst>
          </xdr:cNvPr>
          <xdr:cNvGrpSpPr/>
        </xdr:nvGrpSpPr>
        <xdr:grpSpPr>
          <a:xfrm>
            <a:off x="3424239" y="161927"/>
            <a:ext cx="1757367" cy="719138"/>
            <a:chOff x="3424239" y="161927"/>
            <a:chExt cx="1757367" cy="719138"/>
          </a:xfrm>
        </xdr:grpSpPr>
        <xdr:sp macro="" textlink="">
          <xdr:nvSpPr>
            <xdr:cNvPr id="18" name="Rectangle: Top Corners Rounded 17">
              <a:extLst>
                <a:ext uri="{FF2B5EF4-FFF2-40B4-BE49-F238E27FC236}">
                  <a16:creationId xmlns:a16="http://schemas.microsoft.com/office/drawing/2014/main" id="{766A245D-F419-4188-A614-E54080449EE3}"/>
                </a:ext>
              </a:extLst>
            </xdr:cNvPr>
            <xdr:cNvSpPr/>
          </xdr:nvSpPr>
          <xdr:spPr>
            <a:xfrm rot="16200000" flipH="1">
              <a:off x="3852865" y="-266699"/>
              <a:ext cx="719137" cy="157639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Top Corners Rounded 18">
              <a:extLst>
                <a:ext uri="{FF2B5EF4-FFF2-40B4-BE49-F238E27FC236}">
                  <a16:creationId xmlns:a16="http://schemas.microsoft.com/office/drawing/2014/main" id="{35BDCD46-1E25-465B-9812-8F15A920EABD}"/>
                </a:ext>
              </a:extLst>
            </xdr:cNvPr>
            <xdr:cNvSpPr/>
          </xdr:nvSpPr>
          <xdr:spPr>
            <a:xfrm rot="5400000">
              <a:off x="4033842" y="-266698"/>
              <a:ext cx="719137" cy="1576390"/>
            </a:xfrm>
            <a:prstGeom prst="round2Same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grpSp>
      <xdr:sp macro="" textlink="">
        <xdr:nvSpPr>
          <xdr:cNvPr id="21" name="Label">
            <a:extLst>
              <a:ext uri="{FF2B5EF4-FFF2-40B4-BE49-F238E27FC236}">
                <a16:creationId xmlns:a16="http://schemas.microsoft.com/office/drawing/2014/main" id="{580FE656-BAB0-4FDB-B2C8-7EFE9EB7CA35}"/>
              </a:ext>
            </a:extLst>
          </xdr:cNvPr>
          <xdr:cNvSpPr txBox="1"/>
        </xdr:nvSpPr>
        <xdr:spPr>
          <a:xfrm>
            <a:off x="3700463" y="195263"/>
            <a:ext cx="1404937" cy="2428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Head Count</a:t>
            </a:r>
          </a:p>
        </xdr:txBody>
      </xdr:sp>
      <xdr:sp macro="" textlink="Pivot!E9">
        <xdr:nvSpPr>
          <xdr:cNvPr id="22" name="Value">
            <a:extLst>
              <a:ext uri="{FF2B5EF4-FFF2-40B4-BE49-F238E27FC236}">
                <a16:creationId xmlns:a16="http://schemas.microsoft.com/office/drawing/2014/main" id="{20E6880C-664D-49F9-B348-FFFE76E14D01}"/>
              </a:ext>
            </a:extLst>
          </xdr:cNvPr>
          <xdr:cNvSpPr txBox="1"/>
        </xdr:nvSpPr>
        <xdr:spPr>
          <a:xfrm>
            <a:off x="3633788" y="490538"/>
            <a:ext cx="1495425" cy="3571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AA238F-8124-4EF7-B73E-73B80F742406}" type="TxLink">
              <a:rPr lang="en-US" sz="2400" b="0" i="0" u="none" strike="noStrike">
                <a:solidFill>
                  <a:srgbClr val="000000"/>
                </a:solidFill>
                <a:latin typeface="Aptos Narrow"/>
              </a:rPr>
              <a:pPr algn="ctr"/>
              <a:t>13</a:t>
            </a:fld>
            <a:endParaRPr lang="en-US" sz="2400"/>
          </a:p>
        </xdr:txBody>
      </xdr:sp>
    </xdr:grpSp>
    <xdr:clientData/>
  </xdr:twoCellAnchor>
  <xdr:twoCellAnchor editAs="absolute">
    <xdr:from>
      <xdr:col>6</xdr:col>
      <xdr:colOff>513608</xdr:colOff>
      <xdr:row>0</xdr:row>
      <xdr:rowOff>147639</xdr:rowOff>
    </xdr:from>
    <xdr:to>
      <xdr:col>10</xdr:col>
      <xdr:colOff>20547</xdr:colOff>
      <xdr:row>4</xdr:row>
      <xdr:rowOff>142877</xdr:rowOff>
    </xdr:to>
    <xdr:grpSp>
      <xdr:nvGrpSpPr>
        <xdr:cNvPr id="24" name="TotalWage">
          <a:extLst>
            <a:ext uri="{FF2B5EF4-FFF2-40B4-BE49-F238E27FC236}">
              <a16:creationId xmlns:a16="http://schemas.microsoft.com/office/drawing/2014/main" id="{E65508C9-6E09-45FD-BBC5-E436340568B5}"/>
            </a:ext>
          </a:extLst>
        </xdr:cNvPr>
        <xdr:cNvGrpSpPr/>
      </xdr:nvGrpSpPr>
      <xdr:grpSpPr>
        <a:xfrm>
          <a:off x="5299921" y="147639"/>
          <a:ext cx="2245376" cy="709613"/>
          <a:chOff x="3424239" y="161927"/>
          <a:chExt cx="1757367" cy="719138"/>
        </a:xfrm>
      </xdr:grpSpPr>
      <xdr:grpSp>
        <xdr:nvGrpSpPr>
          <xdr:cNvPr id="25" name="Group 24">
            <a:extLst>
              <a:ext uri="{FF2B5EF4-FFF2-40B4-BE49-F238E27FC236}">
                <a16:creationId xmlns:a16="http://schemas.microsoft.com/office/drawing/2014/main" id="{7BF32AA1-C8C3-484B-A210-7A0FFE8BC288}"/>
              </a:ext>
            </a:extLst>
          </xdr:cNvPr>
          <xdr:cNvGrpSpPr/>
        </xdr:nvGrpSpPr>
        <xdr:grpSpPr>
          <a:xfrm>
            <a:off x="3424239" y="161927"/>
            <a:ext cx="1757367" cy="719138"/>
            <a:chOff x="3424239" y="161927"/>
            <a:chExt cx="1757367" cy="719138"/>
          </a:xfrm>
        </xdr:grpSpPr>
        <xdr:sp macro="" textlink="">
          <xdr:nvSpPr>
            <xdr:cNvPr id="28" name="Rectangle: Top Corners Rounded 27">
              <a:extLst>
                <a:ext uri="{FF2B5EF4-FFF2-40B4-BE49-F238E27FC236}">
                  <a16:creationId xmlns:a16="http://schemas.microsoft.com/office/drawing/2014/main" id="{C9B922B3-238D-47E4-BB6E-600520D0F361}"/>
                </a:ext>
              </a:extLst>
            </xdr:cNvPr>
            <xdr:cNvSpPr/>
          </xdr:nvSpPr>
          <xdr:spPr>
            <a:xfrm rot="16200000" flipH="1">
              <a:off x="3852865" y="-266699"/>
              <a:ext cx="719137" cy="1576390"/>
            </a:xfrm>
            <a:prstGeom prst="round2Same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sp macro="" textlink="">
          <xdr:nvSpPr>
            <xdr:cNvPr id="29" name="Rectangle: Top Corners Rounded 28">
              <a:extLst>
                <a:ext uri="{FF2B5EF4-FFF2-40B4-BE49-F238E27FC236}">
                  <a16:creationId xmlns:a16="http://schemas.microsoft.com/office/drawing/2014/main" id="{3FA84855-8889-4218-AA89-01B3C4FBE5C1}"/>
                </a:ext>
              </a:extLst>
            </xdr:cNvPr>
            <xdr:cNvSpPr/>
          </xdr:nvSpPr>
          <xdr:spPr>
            <a:xfrm rot="5400000">
              <a:off x="4033842" y="-266698"/>
              <a:ext cx="719137" cy="1576390"/>
            </a:xfrm>
            <a:prstGeom prst="round2Same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grpSp>
      <xdr:sp macro="" textlink="">
        <xdr:nvSpPr>
          <xdr:cNvPr id="26" name="Label">
            <a:extLst>
              <a:ext uri="{FF2B5EF4-FFF2-40B4-BE49-F238E27FC236}">
                <a16:creationId xmlns:a16="http://schemas.microsoft.com/office/drawing/2014/main" id="{F7845A0D-2C25-49D8-AEEA-25B7C6FC7F2F}"/>
              </a:ext>
            </a:extLst>
          </xdr:cNvPr>
          <xdr:cNvSpPr txBox="1"/>
        </xdr:nvSpPr>
        <xdr:spPr>
          <a:xfrm>
            <a:off x="3700463" y="195263"/>
            <a:ext cx="1404937" cy="2428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Total Wage</a:t>
            </a:r>
          </a:p>
        </xdr:txBody>
      </xdr:sp>
      <xdr:sp macro="" textlink="Pivot!E10">
        <xdr:nvSpPr>
          <xdr:cNvPr id="27" name="Value">
            <a:extLst>
              <a:ext uri="{FF2B5EF4-FFF2-40B4-BE49-F238E27FC236}">
                <a16:creationId xmlns:a16="http://schemas.microsoft.com/office/drawing/2014/main" id="{6255195C-F08E-4BEC-9377-7E50F7EDFFD2}"/>
              </a:ext>
            </a:extLst>
          </xdr:cNvPr>
          <xdr:cNvSpPr txBox="1"/>
        </xdr:nvSpPr>
        <xdr:spPr>
          <a:xfrm>
            <a:off x="3633788" y="490538"/>
            <a:ext cx="1495425" cy="3571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D88DD1-06C8-4A77-B84E-F1F6AEB81DD8}" type="TxLink">
              <a:rPr lang="en-US" sz="2400" b="0" i="0" u="none" strike="noStrike">
                <a:solidFill>
                  <a:srgbClr val="000000"/>
                </a:solidFill>
                <a:latin typeface="Aptos Narrow"/>
              </a:rPr>
              <a:pPr algn="ctr"/>
              <a:t> $165,444.00 </a:t>
            </a:fld>
            <a:endParaRPr lang="en-US" sz="4800"/>
          </a:p>
        </xdr:txBody>
      </xdr:sp>
    </xdr:grpSp>
    <xdr:clientData/>
  </xdr:twoCellAnchor>
  <xdr:twoCellAnchor editAs="absolute">
    <xdr:from>
      <xdr:col>10</xdr:col>
      <xdr:colOff>138862</xdr:colOff>
      <xdr:row>0</xdr:row>
      <xdr:rowOff>147639</xdr:rowOff>
    </xdr:from>
    <xdr:to>
      <xdr:col>13</xdr:col>
      <xdr:colOff>405560</xdr:colOff>
      <xdr:row>4</xdr:row>
      <xdr:rowOff>142877</xdr:rowOff>
    </xdr:to>
    <xdr:grpSp>
      <xdr:nvGrpSpPr>
        <xdr:cNvPr id="30" name="AvgWeekdayWage">
          <a:extLst>
            <a:ext uri="{FF2B5EF4-FFF2-40B4-BE49-F238E27FC236}">
              <a16:creationId xmlns:a16="http://schemas.microsoft.com/office/drawing/2014/main" id="{7B887192-4125-4149-BA5B-1651FFF210EC}"/>
            </a:ext>
          </a:extLst>
        </xdr:cNvPr>
        <xdr:cNvGrpSpPr/>
      </xdr:nvGrpSpPr>
      <xdr:grpSpPr>
        <a:xfrm>
          <a:off x="7663612" y="147639"/>
          <a:ext cx="2249089" cy="709613"/>
          <a:chOff x="3424239" y="161927"/>
          <a:chExt cx="1757367" cy="719138"/>
        </a:xfrm>
      </xdr:grpSpPr>
      <xdr:grpSp>
        <xdr:nvGrpSpPr>
          <xdr:cNvPr id="31" name="Group 30">
            <a:extLst>
              <a:ext uri="{FF2B5EF4-FFF2-40B4-BE49-F238E27FC236}">
                <a16:creationId xmlns:a16="http://schemas.microsoft.com/office/drawing/2014/main" id="{47D29CC0-CA1F-4B4C-B36F-C0E53DF97903}"/>
              </a:ext>
            </a:extLst>
          </xdr:cNvPr>
          <xdr:cNvGrpSpPr/>
        </xdr:nvGrpSpPr>
        <xdr:grpSpPr>
          <a:xfrm>
            <a:off x="3424239" y="161927"/>
            <a:ext cx="1757367" cy="719138"/>
            <a:chOff x="3424239" y="161927"/>
            <a:chExt cx="1757367" cy="719138"/>
          </a:xfrm>
        </xdr:grpSpPr>
        <xdr:sp macro="" textlink="">
          <xdr:nvSpPr>
            <xdr:cNvPr id="34" name="Rectangle: Top Corners Rounded 33">
              <a:extLst>
                <a:ext uri="{FF2B5EF4-FFF2-40B4-BE49-F238E27FC236}">
                  <a16:creationId xmlns:a16="http://schemas.microsoft.com/office/drawing/2014/main" id="{A71D1E16-629B-4BEC-AC66-F480ADC8BBDD}"/>
                </a:ext>
              </a:extLst>
            </xdr:cNvPr>
            <xdr:cNvSpPr/>
          </xdr:nvSpPr>
          <xdr:spPr>
            <a:xfrm rot="16200000" flipH="1">
              <a:off x="3852865" y="-266699"/>
              <a:ext cx="719137" cy="1576390"/>
            </a:xfrm>
            <a:prstGeom prst="round2Same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sp macro="" textlink="">
          <xdr:nvSpPr>
            <xdr:cNvPr id="35" name="Rectangle: Top Corners Rounded 34">
              <a:extLst>
                <a:ext uri="{FF2B5EF4-FFF2-40B4-BE49-F238E27FC236}">
                  <a16:creationId xmlns:a16="http://schemas.microsoft.com/office/drawing/2014/main" id="{25B17593-F9B7-4345-81FF-2891A582B4EF}"/>
                </a:ext>
              </a:extLst>
            </xdr:cNvPr>
            <xdr:cNvSpPr/>
          </xdr:nvSpPr>
          <xdr:spPr>
            <a:xfrm rot="5400000">
              <a:off x="4033842" y="-266698"/>
              <a:ext cx="719137" cy="1576390"/>
            </a:xfrm>
            <a:prstGeom prst="round2Same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grpSp>
      <xdr:sp macro="" textlink="">
        <xdr:nvSpPr>
          <xdr:cNvPr id="32" name="Label">
            <a:extLst>
              <a:ext uri="{FF2B5EF4-FFF2-40B4-BE49-F238E27FC236}">
                <a16:creationId xmlns:a16="http://schemas.microsoft.com/office/drawing/2014/main" id="{99CDE225-866B-405B-B556-D2891ED67D56}"/>
              </a:ext>
            </a:extLst>
          </xdr:cNvPr>
          <xdr:cNvSpPr txBox="1"/>
        </xdr:nvSpPr>
        <xdr:spPr>
          <a:xfrm>
            <a:off x="3700463" y="195263"/>
            <a:ext cx="1404937" cy="2428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Avg Weekday / Hour</a:t>
            </a:r>
          </a:p>
        </xdr:txBody>
      </xdr:sp>
      <xdr:sp macro="" textlink="Pivot!C11">
        <xdr:nvSpPr>
          <xdr:cNvPr id="33" name="Value">
            <a:extLst>
              <a:ext uri="{FF2B5EF4-FFF2-40B4-BE49-F238E27FC236}">
                <a16:creationId xmlns:a16="http://schemas.microsoft.com/office/drawing/2014/main" id="{04846572-ED5F-441A-B284-F3807EBCBBF1}"/>
              </a:ext>
            </a:extLst>
          </xdr:cNvPr>
          <xdr:cNvSpPr txBox="1"/>
        </xdr:nvSpPr>
        <xdr:spPr>
          <a:xfrm>
            <a:off x="3633788" y="490538"/>
            <a:ext cx="1495425" cy="3571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DE9664D-5684-4D82-8A5C-01AC784E7034}" type="TxLink">
              <a:rPr lang="en-US" sz="2400" b="0" i="0" u="none" strike="noStrike">
                <a:solidFill>
                  <a:srgbClr val="000000"/>
                </a:solidFill>
                <a:latin typeface="Aptos Narrow"/>
              </a:rPr>
              <a:pPr algn="ctr"/>
              <a:t> $24.75 </a:t>
            </a:fld>
            <a:endParaRPr lang="en-US" sz="8800"/>
          </a:p>
        </xdr:txBody>
      </xdr:sp>
    </xdr:grpSp>
    <xdr:clientData/>
  </xdr:twoCellAnchor>
  <xdr:twoCellAnchor editAs="absolute">
    <xdr:from>
      <xdr:col>13</xdr:col>
      <xdr:colOff>523876</xdr:colOff>
      <xdr:row>0</xdr:row>
      <xdr:rowOff>147639</xdr:rowOff>
    </xdr:from>
    <xdr:to>
      <xdr:col>17</xdr:col>
      <xdr:colOff>547686</xdr:colOff>
      <xdr:row>4</xdr:row>
      <xdr:rowOff>142876</xdr:rowOff>
    </xdr:to>
    <xdr:grpSp>
      <xdr:nvGrpSpPr>
        <xdr:cNvPr id="36" name="AvgHolidayWeekendWage">
          <a:extLst>
            <a:ext uri="{FF2B5EF4-FFF2-40B4-BE49-F238E27FC236}">
              <a16:creationId xmlns:a16="http://schemas.microsoft.com/office/drawing/2014/main" id="{10E8D4AD-E318-42B0-9FF7-8D0554C3AE10}"/>
            </a:ext>
          </a:extLst>
        </xdr:cNvPr>
        <xdr:cNvGrpSpPr/>
      </xdr:nvGrpSpPr>
      <xdr:grpSpPr>
        <a:xfrm>
          <a:off x="10031017" y="147639"/>
          <a:ext cx="2619373" cy="709612"/>
          <a:chOff x="3424239" y="161927"/>
          <a:chExt cx="2044056" cy="719137"/>
        </a:xfrm>
      </xdr:grpSpPr>
      <xdr:grpSp>
        <xdr:nvGrpSpPr>
          <xdr:cNvPr id="37" name="Group 36">
            <a:extLst>
              <a:ext uri="{FF2B5EF4-FFF2-40B4-BE49-F238E27FC236}">
                <a16:creationId xmlns:a16="http://schemas.microsoft.com/office/drawing/2014/main" id="{1319DC58-14AA-4402-83AC-075999E08EE8}"/>
              </a:ext>
            </a:extLst>
          </xdr:cNvPr>
          <xdr:cNvGrpSpPr/>
        </xdr:nvGrpSpPr>
        <xdr:grpSpPr>
          <a:xfrm>
            <a:off x="3424239" y="161927"/>
            <a:ext cx="2044056" cy="719137"/>
            <a:chOff x="3424239" y="161927"/>
            <a:chExt cx="2044056" cy="719137"/>
          </a:xfrm>
        </xdr:grpSpPr>
        <xdr:sp macro="" textlink="">
          <xdr:nvSpPr>
            <xdr:cNvPr id="40" name="Rectangle: Top Corners Rounded 39">
              <a:extLst>
                <a:ext uri="{FF2B5EF4-FFF2-40B4-BE49-F238E27FC236}">
                  <a16:creationId xmlns:a16="http://schemas.microsoft.com/office/drawing/2014/main" id="{02869A60-AD3E-4CA3-B46C-81FBE78C45AC}"/>
                </a:ext>
              </a:extLst>
            </xdr:cNvPr>
            <xdr:cNvSpPr/>
          </xdr:nvSpPr>
          <xdr:spPr>
            <a:xfrm rot="16200000" flipH="1">
              <a:off x="3852865" y="-266699"/>
              <a:ext cx="719137" cy="1576390"/>
            </a:xfrm>
            <a:prstGeom prst="round2Same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sp macro="" textlink="">
          <xdr:nvSpPr>
            <xdr:cNvPr id="41" name="Rectangle: Top Corners Rounded 40">
              <a:extLst>
                <a:ext uri="{FF2B5EF4-FFF2-40B4-BE49-F238E27FC236}">
                  <a16:creationId xmlns:a16="http://schemas.microsoft.com/office/drawing/2014/main" id="{331CDE65-7357-4B07-9C6D-C1D7A544E632}"/>
                </a:ext>
              </a:extLst>
            </xdr:cNvPr>
            <xdr:cNvSpPr/>
          </xdr:nvSpPr>
          <xdr:spPr>
            <a:xfrm rot="5400000">
              <a:off x="4177186" y="-410044"/>
              <a:ext cx="719137" cy="1863080"/>
            </a:xfrm>
            <a:prstGeom prst="round2Same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grpSp>
      <xdr:sp macro="" textlink="">
        <xdr:nvSpPr>
          <xdr:cNvPr id="38" name="Label">
            <a:extLst>
              <a:ext uri="{FF2B5EF4-FFF2-40B4-BE49-F238E27FC236}">
                <a16:creationId xmlns:a16="http://schemas.microsoft.com/office/drawing/2014/main" id="{E7FF2A92-57D8-4EDD-A770-738EEAA170BE}"/>
              </a:ext>
            </a:extLst>
          </xdr:cNvPr>
          <xdr:cNvSpPr txBox="1"/>
        </xdr:nvSpPr>
        <xdr:spPr>
          <a:xfrm>
            <a:off x="3700463" y="195263"/>
            <a:ext cx="1682199" cy="2428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Avg Premium Shift / Hour</a:t>
            </a:r>
          </a:p>
        </xdr:txBody>
      </xdr:sp>
      <xdr:sp macro="" textlink="Pivot!D11">
        <xdr:nvSpPr>
          <xdr:cNvPr id="39" name="Value">
            <a:extLst>
              <a:ext uri="{FF2B5EF4-FFF2-40B4-BE49-F238E27FC236}">
                <a16:creationId xmlns:a16="http://schemas.microsoft.com/office/drawing/2014/main" id="{5A09B169-E525-4C72-9052-780A10FA738E}"/>
              </a:ext>
            </a:extLst>
          </xdr:cNvPr>
          <xdr:cNvSpPr txBox="1"/>
        </xdr:nvSpPr>
        <xdr:spPr>
          <a:xfrm>
            <a:off x="3633788" y="490538"/>
            <a:ext cx="1800999" cy="3571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71C0C97-34D8-413F-9A07-26C9264DA946}" type="TxLink">
              <a:rPr lang="en-US" sz="2400" b="0" i="0" u="none" strike="noStrike">
                <a:solidFill>
                  <a:srgbClr val="000000"/>
                </a:solidFill>
                <a:latin typeface="Aptos Narrow"/>
              </a:rPr>
              <a:pPr algn="ctr"/>
              <a:t> $37.60 </a:t>
            </a:fld>
            <a:endParaRPr lang="en-US" sz="23900"/>
          </a:p>
        </xdr:txBody>
      </xdr:sp>
    </xdr:grpSp>
    <xdr:clientData/>
  </xdr:twoCellAnchor>
  <xdr:twoCellAnchor>
    <xdr:from>
      <xdr:col>13</xdr:col>
      <xdr:colOff>300519</xdr:colOff>
      <xdr:row>58</xdr:row>
      <xdr:rowOff>93721</xdr:rowOff>
    </xdr:from>
    <xdr:to>
      <xdr:col>23</xdr:col>
      <xdr:colOff>34636</xdr:colOff>
      <xdr:row>81</xdr:row>
      <xdr:rowOff>148828</xdr:rowOff>
    </xdr:to>
    <xdr:graphicFrame macro="">
      <xdr:nvGraphicFramePr>
        <xdr:cNvPr id="42" name="Chart 41">
          <a:extLst>
            <a:ext uri="{FF2B5EF4-FFF2-40B4-BE49-F238E27FC236}">
              <a16:creationId xmlns:a16="http://schemas.microsoft.com/office/drawing/2014/main" id="{93113073-3138-461C-80CA-2BD77A72C8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17858</xdr:colOff>
      <xdr:row>13</xdr:row>
      <xdr:rowOff>86590</xdr:rowOff>
    </xdr:from>
    <xdr:to>
      <xdr:col>23</xdr:col>
      <xdr:colOff>10073</xdr:colOff>
      <xdr:row>34</xdr:row>
      <xdr:rowOff>95250</xdr:rowOff>
    </xdr:to>
    <xdr:graphicFrame macro="">
      <xdr:nvGraphicFramePr>
        <xdr:cNvPr id="43" name="Chart 42">
          <a:extLst>
            <a:ext uri="{FF2B5EF4-FFF2-40B4-BE49-F238E27FC236}">
              <a16:creationId xmlns:a16="http://schemas.microsoft.com/office/drawing/2014/main" id="{D0E9CC79-54E5-4976-9159-AB73447FFC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8658</xdr:colOff>
      <xdr:row>34</xdr:row>
      <xdr:rowOff>178592</xdr:rowOff>
    </xdr:from>
    <xdr:to>
      <xdr:col>13</xdr:col>
      <xdr:colOff>173180</xdr:colOff>
      <xdr:row>57</xdr:row>
      <xdr:rowOff>146517</xdr:rowOff>
    </xdr:to>
    <xdr:graphicFrame macro="">
      <xdr:nvGraphicFramePr>
        <xdr:cNvPr id="45" name="chtWorkingHourVsContractHour">
          <a:extLst>
            <a:ext uri="{FF2B5EF4-FFF2-40B4-BE49-F238E27FC236}">
              <a16:creationId xmlns:a16="http://schemas.microsoft.com/office/drawing/2014/main" id="{DF286BD7-F5F2-48FD-A37E-CDCC961E22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294409</xdr:colOff>
      <xdr:row>34</xdr:row>
      <xdr:rowOff>173182</xdr:rowOff>
    </xdr:from>
    <xdr:to>
      <xdr:col>23</xdr:col>
      <xdr:colOff>34637</xdr:colOff>
      <xdr:row>57</xdr:row>
      <xdr:rowOff>129885</xdr:rowOff>
    </xdr:to>
    <xdr:graphicFrame macro="">
      <xdr:nvGraphicFramePr>
        <xdr:cNvPr id="47" name="Chart 46">
          <a:extLst>
            <a:ext uri="{FF2B5EF4-FFF2-40B4-BE49-F238E27FC236}">
              <a16:creationId xmlns:a16="http://schemas.microsoft.com/office/drawing/2014/main" id="{8155371D-DE42-4D34-9804-B0629E1B38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8657</xdr:colOff>
      <xdr:row>58</xdr:row>
      <xdr:rowOff>103909</xdr:rowOff>
    </xdr:from>
    <xdr:to>
      <xdr:col>13</xdr:col>
      <xdr:colOff>178592</xdr:colOff>
      <xdr:row>81</xdr:row>
      <xdr:rowOff>142875</xdr:rowOff>
    </xdr:to>
    <xdr:graphicFrame macro="">
      <xdr:nvGraphicFramePr>
        <xdr:cNvPr id="48" name="chtPremiumShift">
          <a:extLst>
            <a:ext uri="{FF2B5EF4-FFF2-40B4-BE49-F238E27FC236}">
              <a16:creationId xmlns:a16="http://schemas.microsoft.com/office/drawing/2014/main" id="{36B1561F-5970-4F9C-9D61-A70B0867CE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7</xdr:col>
      <xdr:colOff>145675</xdr:colOff>
      <xdr:row>5</xdr:row>
      <xdr:rowOff>44823</xdr:rowOff>
    </xdr:from>
    <xdr:to>
      <xdr:col>22</xdr:col>
      <xdr:colOff>677955</xdr:colOff>
      <xdr:row>12</xdr:row>
      <xdr:rowOff>161365</xdr:rowOff>
    </xdr:to>
    <mc:AlternateContent xmlns:mc="http://schemas.openxmlformats.org/markup-compatibility/2006" xmlns:tsle="http://schemas.microsoft.com/office/drawing/2012/timeslicer">
      <mc:Choice Requires="tsle">
        <xdr:graphicFrame macro="">
          <xdr:nvGraphicFramePr>
            <xdr:cNvPr id="50" name="Date">
              <a:extLst>
                <a:ext uri="{FF2B5EF4-FFF2-40B4-BE49-F238E27FC236}">
                  <a16:creationId xmlns:a16="http://schemas.microsoft.com/office/drawing/2014/main" id="{C6EA53D1-0B1B-4822-BEE3-54DD8267C5C5}"/>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5614146" y="941294"/>
              <a:ext cx="10387854"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16810</xdr:colOff>
      <xdr:row>5</xdr:row>
      <xdr:rowOff>50426</xdr:rowOff>
    </xdr:from>
    <xdr:to>
      <xdr:col>2</xdr:col>
      <xdr:colOff>845343</xdr:colOff>
      <xdr:row>33</xdr:row>
      <xdr:rowOff>112058</xdr:rowOff>
    </xdr:to>
    <mc:AlternateContent xmlns:mc="http://schemas.openxmlformats.org/markup-compatibility/2006" xmlns:a14="http://schemas.microsoft.com/office/drawing/2010/main">
      <mc:Choice Requires="a14">
        <xdr:graphicFrame macro="">
          <xdr:nvGraphicFramePr>
            <xdr:cNvPr id="51" name="StaffName">
              <a:extLst>
                <a:ext uri="{FF2B5EF4-FFF2-40B4-BE49-F238E27FC236}">
                  <a16:creationId xmlns:a16="http://schemas.microsoft.com/office/drawing/2014/main" id="{99A011D4-0EC8-4550-9D79-608DC96D0EBB}"/>
                </a:ext>
              </a:extLst>
            </xdr:cNvPr>
            <xdr:cNvGraphicFramePr/>
          </xdr:nvGraphicFramePr>
          <xdr:xfrm>
            <a:off x="0" y="0"/>
            <a:ext cx="0" cy="0"/>
          </xdr:xfrm>
          <a:graphic>
            <a:graphicData uri="http://schemas.microsoft.com/office/drawing/2010/slicer">
              <sle:slicer xmlns:sle="http://schemas.microsoft.com/office/drawing/2010/slicer" name="StaffName"/>
            </a:graphicData>
          </a:graphic>
        </xdr:graphicFrame>
      </mc:Choice>
      <mc:Fallback xmlns="">
        <xdr:sp macro="" textlink="">
          <xdr:nvSpPr>
            <xdr:cNvPr id="0" name=""/>
            <xdr:cNvSpPr>
              <a:spLocks noTextEdit="1"/>
            </xdr:cNvSpPr>
          </xdr:nvSpPr>
          <xdr:spPr>
            <a:xfrm>
              <a:off x="16810" y="946897"/>
              <a:ext cx="1828800" cy="50818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11206</xdr:colOff>
      <xdr:row>5</xdr:row>
      <xdr:rowOff>50426</xdr:rowOff>
    </xdr:from>
    <xdr:to>
      <xdr:col>4</xdr:col>
      <xdr:colOff>287992</xdr:colOff>
      <xdr:row>13</xdr:row>
      <xdr:rowOff>16808</xdr:rowOff>
    </xdr:to>
    <mc:AlternateContent xmlns:mc="http://schemas.openxmlformats.org/markup-compatibility/2006" xmlns:a14="http://schemas.microsoft.com/office/drawing/2010/main">
      <mc:Choice Requires="a14">
        <xdr:graphicFrame macro="">
          <xdr:nvGraphicFramePr>
            <xdr:cNvPr id="52" name="RoleCategory 1">
              <a:extLst>
                <a:ext uri="{FF2B5EF4-FFF2-40B4-BE49-F238E27FC236}">
                  <a16:creationId xmlns:a16="http://schemas.microsoft.com/office/drawing/2014/main" id="{9024B52A-FDFF-4D88-9869-92D460D31327}"/>
                </a:ext>
              </a:extLst>
            </xdr:cNvPr>
            <xdr:cNvGraphicFramePr/>
          </xdr:nvGraphicFramePr>
          <xdr:xfrm>
            <a:off x="0" y="0"/>
            <a:ext cx="0" cy="0"/>
          </xdr:xfrm>
          <a:graphic>
            <a:graphicData uri="http://schemas.microsoft.com/office/drawing/2010/slicer">
              <sle:slicer xmlns:sle="http://schemas.microsoft.com/office/drawing/2010/slicer" name="RoleCategory 1"/>
            </a:graphicData>
          </a:graphic>
        </xdr:graphicFrame>
      </mc:Choice>
      <mc:Fallback xmlns="">
        <xdr:sp macro="" textlink="">
          <xdr:nvSpPr>
            <xdr:cNvPr id="0" name=""/>
            <xdr:cNvSpPr>
              <a:spLocks noTextEdit="1"/>
            </xdr:cNvSpPr>
          </xdr:nvSpPr>
          <xdr:spPr>
            <a:xfrm>
              <a:off x="1876986" y="946897"/>
              <a:ext cx="1828800" cy="14007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330573</xdr:colOff>
      <xdr:row>5</xdr:row>
      <xdr:rowOff>50427</xdr:rowOff>
    </xdr:from>
    <xdr:to>
      <xdr:col>7</xdr:col>
      <xdr:colOff>108696</xdr:colOff>
      <xdr:row>13</xdr:row>
      <xdr:rowOff>11206</xdr:rowOff>
    </xdr:to>
    <mc:AlternateContent xmlns:mc="http://schemas.openxmlformats.org/markup-compatibility/2006" xmlns:a14="http://schemas.microsoft.com/office/drawing/2010/main">
      <mc:Choice Requires="a14">
        <xdr:graphicFrame macro="">
          <xdr:nvGraphicFramePr>
            <xdr:cNvPr id="53" name="FullPart 1">
              <a:extLst>
                <a:ext uri="{FF2B5EF4-FFF2-40B4-BE49-F238E27FC236}">
                  <a16:creationId xmlns:a16="http://schemas.microsoft.com/office/drawing/2014/main" id="{E21D02F7-38F8-4047-A8BA-717806389A74}"/>
                </a:ext>
              </a:extLst>
            </xdr:cNvPr>
            <xdr:cNvGraphicFramePr/>
          </xdr:nvGraphicFramePr>
          <xdr:xfrm>
            <a:off x="0" y="0"/>
            <a:ext cx="0" cy="0"/>
          </xdr:xfrm>
          <a:graphic>
            <a:graphicData uri="http://schemas.microsoft.com/office/drawing/2010/slicer">
              <sle:slicer xmlns:sle="http://schemas.microsoft.com/office/drawing/2010/slicer" name="FullPart 1"/>
            </a:graphicData>
          </a:graphic>
        </xdr:graphicFrame>
      </mc:Choice>
      <mc:Fallback xmlns="">
        <xdr:sp macro="" textlink="">
          <xdr:nvSpPr>
            <xdr:cNvPr id="0" name=""/>
            <xdr:cNvSpPr>
              <a:spLocks noTextEdit="1"/>
            </xdr:cNvSpPr>
          </xdr:nvSpPr>
          <xdr:spPr>
            <a:xfrm>
              <a:off x="3748367" y="946898"/>
              <a:ext cx="1828800" cy="13951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8658</xdr:colOff>
      <xdr:row>13</xdr:row>
      <xdr:rowOff>86590</xdr:rowOff>
    </xdr:from>
    <xdr:to>
      <xdr:col>16</xdr:col>
      <xdr:colOff>544981</xdr:colOff>
      <xdr:row>34</xdr:row>
      <xdr:rowOff>95250</xdr:rowOff>
    </xdr:to>
    <xdr:graphicFrame macro="">
      <xdr:nvGraphicFramePr>
        <xdr:cNvPr id="54" name="Chart 53">
          <a:extLst>
            <a:ext uri="{FF2B5EF4-FFF2-40B4-BE49-F238E27FC236}">
              <a16:creationId xmlns:a16="http://schemas.microsoft.com/office/drawing/2014/main" id="{F86706D9-685A-4CE5-9C89-4001132D32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FunWithExcel" refreshedDate="46120.604630324073" backgroundQuery="1" createdVersion="7" refreshedVersion="7" minRefreshableVersion="3" recordCount="0" supportSubquery="1" supportAdvancedDrill="1" xr:uid="{5D1B5594-0E88-4566-BD76-67E46F939B26}">
  <cacheSource type="external" connectionId="2"/>
  <cacheFields count="4">
    <cacheField name="[tblHistory].[StaffName].[StaffName]" caption="StaffName" numFmtId="0" level="1">
      <sharedItems count="13">
        <s v="Aaliyah Khan"/>
        <s v="David South"/>
        <s v="Elena Rodriguez"/>
        <s v="Glenn Silver"/>
        <s v="Jenna Gold"/>
        <s v="Jonh West"/>
        <s v="Julian Chen"/>
        <s v="Leo Moretti"/>
        <s v="Marcus Thompson"/>
        <s v="Max Titanium"/>
        <s v="Oliver East"/>
        <s v="Sarah Jenkins"/>
        <s v="Will North"/>
      </sharedItems>
    </cacheField>
    <cacheField name="[Measures].[Sum of PremiumShift]" caption="Sum of PremiumShift" numFmtId="0" hierarchy="20" level="32767"/>
    <cacheField name="[tblHistory].[Date].[Date]" caption="Date" numFmtId="0" hierarchy="8" level="1">
      <sharedItems containsSemiMixedTypes="0" containsNonDate="0" containsDate="1" containsString="0" minDate="2025-12-29T00:00:00" maxDate="2026-04-06T00:00:00" count="98">
        <d v="2025-12-29T00:00:00"/>
        <d v="2025-12-30T00:00:00"/>
        <d v="2025-12-31T00:00:00"/>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0T00:00:00"/>
        <d v="2026-02-21T00:00:00"/>
        <d v="2026-02-22T00:00:00"/>
        <d v="2026-02-23T00:00:00"/>
        <d v="2026-02-24T00:00:00"/>
        <d v="2026-02-25T00:00:00"/>
        <d v="2026-02-26T00:00:00"/>
        <d v="2026-02-27T00:00:00"/>
        <d v="2026-02-28T00:00:00"/>
        <d v="2026-03-01T00:00:00"/>
        <d v="2026-03-02T00:00:00"/>
        <d v="2026-03-03T00:00:00"/>
        <d v="2026-03-04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4T00:00:00"/>
        <d v="2026-03-25T00:00:00"/>
        <d v="2026-03-26T00:00:00"/>
        <d v="2026-03-27T00:00:00"/>
        <d v="2026-03-28T00:00:00"/>
        <d v="2026-03-29T00:00:00"/>
        <d v="2026-03-30T00:00:00"/>
        <d v="2026-03-31T00:00:00"/>
        <d v="2026-04-01T00:00:00"/>
        <d v="2026-04-02T00:00:00"/>
        <d v="2026-04-03T00:00:00"/>
        <d v="2026-04-04T00:00:00"/>
        <d v="2026-04-05T00:00:00"/>
      </sharedItems>
    </cacheField>
    <cacheField name="[Measures].[HolidayWeekendCount]" caption="HolidayWeekendCount" numFmtId="0" hierarchy="26" level="32767"/>
  </cacheFields>
  <cacheHierarchies count="36">
    <cacheHierarchy uniqueName="[tblHistory].[StaffName]" caption="StaffName" attribute="1" defaultMemberUniqueName="[tblHistory].[StaffName].[All]" allUniqueName="[tblHistory].[StaffName].[All]" dimensionUniqueName="[tblHistory]" displayFolder="" count="2" memberValueDatatype="130" unbalanced="0">
      <fieldsUsage count="2">
        <fieldUsage x="-1"/>
        <fieldUsage x="0"/>
      </fieldsUsage>
    </cacheHierarchy>
    <cacheHierarchy uniqueName="[tblHistory].[Role]" caption="Role" attribute="1" defaultMemberUniqueName="[tblHistory].[Role].[All]" allUniqueName="[tblHistory].[Role].[All]" dimensionUniqueName="[tblHistory]" displayFolder="" count="0" memberValueDatatype="130" unbalanced="0"/>
    <cacheHierarchy uniqueName="[tblHistory].[RoleCategory]" caption="RoleCategory" attribute="1" defaultMemberUniqueName="[tblHistory].[RoleCategory].[All]" allUniqueName="[tblHistory].[RoleCategory].[All]" dimensionUniqueName="[tblHistory]" displayFolder="" count="0" memberValueDatatype="130" unbalanced="0"/>
    <cacheHierarchy uniqueName="[tblHistory].[FullPart]" caption="FullPart" attribute="1" defaultMemberUniqueName="[tblHistory].[FullPart].[All]" allUniqueName="[tblHistory].[FullPart].[All]" dimensionUniqueName="[tblHistory]" displayFolder="" count="0" memberValueDatatype="130" unbalanced="0"/>
    <cacheHierarchy uniqueName="[tblHistory].[HourlyRate]" caption="HourlyRate" attribute="1" defaultMemberUniqueName="[tblHistory].[HourlyRate].[All]" allUniqueName="[tblHistory].[HourlyRate].[All]" dimensionUniqueName="[tblHistory]" displayFolder="" count="0" memberValueDatatype="20" unbalanced="0"/>
    <cacheHierarchy uniqueName="[tblHistory].[MaxHour]" caption="MaxHour" attribute="1" defaultMemberUniqueName="[tblHistory].[MaxHour].[All]" allUniqueName="[tblHistory].[MaxHour].[All]" dimensionUniqueName="[tblHistory]" displayFolder="" count="0" memberValueDatatype="20" unbalanced="0"/>
    <cacheHierarchy uniqueName="[tblHistory].[WeekDay]" caption="WeekDay" attribute="1" defaultMemberUniqueName="[tblHistory].[WeekDay].[All]" allUniqueName="[tblHistory].[WeekDay].[All]" dimensionUniqueName="[tblHistory]" displayFolder="" count="0" memberValueDatatype="130" unbalanced="0"/>
    <cacheHierarchy uniqueName="[tblHistory].[ShiftCode]" caption="ShiftCode" attribute="1" defaultMemberUniqueName="[tblHistory].[ShiftCode].[All]" allUniqueName="[tblHistory].[ShiftCode].[All]" dimensionUniqueName="[tblHistory]" displayFolder="" count="0" memberValueDatatype="130" unbalanced="0"/>
    <cacheHierarchy uniqueName="[tblHistory].[Date]" caption="Date" attribute="1" time="1" defaultMemberUniqueName="[tblHistory].[Date].[All]" allUniqueName="[tblHistory].[Date].[All]" dimensionUniqueName="[tblHistory]" displayFolder="" count="2" memberValueDatatype="7" unbalanced="0">
      <fieldsUsage count="2">
        <fieldUsage x="-1"/>
        <fieldUsage x="2"/>
      </fieldsUsage>
    </cacheHierarchy>
    <cacheHierarchy uniqueName="[tblHistory].[IsWeekend]" caption="IsWeekend" attribute="1" defaultMemberUniqueName="[tblHistory].[IsWeekend].[All]" allUniqueName="[tblHistory].[IsWeekend].[All]" dimensionUniqueName="[tblHistory]" displayFolder="" count="0" memberValueDatatype="130" unbalanced="0"/>
    <cacheHierarchy uniqueName="[tblHistory].[IsHoliday]" caption="IsHoliday" attribute="1" defaultMemberUniqueName="[tblHistory].[IsHoliday].[All]" allUniqueName="[tblHistory].[IsHoliday].[All]" dimensionUniqueName="[tblHistory]" displayFolder="" count="0" memberValueDatatype="130" unbalanced="0"/>
    <cacheHierarchy uniqueName="[tblHistory].[HolidayOrWeekend]" caption="HolidayOrWeekend" attribute="1" defaultMemberUniqueName="[tblHistory].[HolidayOrWeekend].[All]" allUniqueName="[tblHistory].[HolidayOrWeekend].[All]" dimensionUniqueName="[tblHistory]" displayFolder="" count="0" memberValueDatatype="130" unbalanced="0"/>
    <cacheHierarchy uniqueName="[tblHistory].[WorkingHour]" caption="WorkingHour" attribute="1" defaultMemberUniqueName="[tblHistory].[WorkingHour].[All]" allUniqueName="[tblHistory].[WorkingHour].[All]" dimensionUniqueName="[tblHistory]" displayFolder="" count="0" memberValueDatatype="5" unbalanced="0"/>
    <cacheHierarchy uniqueName="[tblHistory].[Wage]" caption="Wage" attribute="1" defaultMemberUniqueName="[tblHistory].[Wage].[All]" allUniqueName="[tblHistory].[Wage].[All]" dimensionUniqueName="[tblHistory]" displayFolder="" count="0" memberValueDatatype="5" unbalanced="0"/>
    <cacheHierarchy uniqueName="[tblHistory].[MaxHourPerDay]" caption="MaxHourPerDay" attribute="1" defaultMemberUniqueName="[tblHistory].[MaxHourPerDay].[All]" allUniqueName="[tblHistory].[MaxHourPerDay].[All]" dimensionUniqueName="[tblHistory]" displayFolder="" count="0" memberValueDatatype="5" unbalanced="0"/>
    <cacheHierarchy uniqueName="[tblHistory].[PremiumShift]" caption="PremiumShift" attribute="1" defaultMemberUniqueName="[tblHistory].[PremiumShift].[All]" allUniqueName="[tblHistory].[PremiumShift].[All]" dimensionUniqueName="[tblHistory]" displayFolder="" count="0" memberValueDatatype="20" unbalanced="0"/>
    <cacheHierarchy uniqueName="[tblHistory].[Date (Year)]" caption="Date (Year)" attribute="1" defaultMemberUniqueName="[tblHistory].[Date (Year)].[All]" allUniqueName="[tblHistory].[Date (Year)].[All]" dimensionUniqueName="[tblHistory]" displayFolder="" count="0" memberValueDatatype="130" unbalanced="0"/>
    <cacheHierarchy uniqueName="[tblHistory].[Date (Quarter)]" caption="Date (Quarter)" attribute="1" defaultMemberUniqueName="[tblHistory].[Date (Quarter)].[All]" allUniqueName="[tblHistory].[Date (Quarter)].[All]" dimensionUniqueName="[tblHistory]" displayFolder="" count="0" memberValueDatatype="130" unbalanced="0"/>
    <cacheHierarchy uniqueName="[tblHistory].[Date (Month)]" caption="Date (Month)" attribute="1" defaultMemberUniqueName="[tblHistory].[Date (Month)].[All]" allUniqueName="[tblHistory].[Date (Month)].[All]" dimensionUniqueName="[tblHistory]" displayFolder="" count="0" memberValueDatatype="130" unbalanced="0"/>
    <cacheHierarchy uniqueName="[tblHistory].[Date (Month Index)]" caption="Date (Month Index)" attribute="1" defaultMemberUniqueName="[tblHistory].[Date (Month Index)].[All]" allUniqueName="[tblHistory].[Date (Month Index)].[All]" dimensionUniqueName="[tblHistory]" displayFolder="" count="0" memberValueDatatype="20" unbalanced="0" hidden="1"/>
    <cacheHierarchy uniqueName="[Measures].[Sum of PremiumShift]" caption="Sum of PremiumShift" measure="1" displayFolder="" measureGroup="tblHistory" count="0" oneField="1">
      <fieldsUsage count="1">
        <fieldUsage x="1"/>
      </fieldsUsage>
      <extLst>
        <ext xmlns:x15="http://schemas.microsoft.com/office/spreadsheetml/2010/11/main" uri="{B97F6D7D-B522-45F9-BDA1-12C45D357490}">
          <x15:cacheHierarchy aggregatedColumn="15"/>
        </ext>
      </extLst>
    </cacheHierarchy>
    <cacheHierarchy uniqueName="[Measures].[Count of StaffName]" caption="Count of StaffName" measure="1" displayFolder="" measureGroup="tblHistory" count="0">
      <extLst>
        <ext xmlns:x15="http://schemas.microsoft.com/office/spreadsheetml/2010/11/main" uri="{B97F6D7D-B522-45F9-BDA1-12C45D357490}">
          <x15:cacheHierarchy aggregatedColumn="0"/>
        </ext>
      </extLst>
    </cacheHierarchy>
    <cacheHierarchy uniqueName="[Measures].[Distinct Count of StaffName]" caption="Distinct Count of StaffName" measure="1" displayFolder="" measureGroup="tblHistory" count="0">
      <extLst>
        <ext xmlns:x15="http://schemas.microsoft.com/office/spreadsheetml/2010/11/main" uri="{B97F6D7D-B522-45F9-BDA1-12C45D357490}">
          <x15:cacheHierarchy aggregatedColumn="0"/>
        </ext>
      </extLst>
    </cacheHierarchy>
    <cacheHierarchy uniqueName="[Measures].[Sum of WorkingHour]" caption="Sum of WorkingHour" measure="1" displayFolder="" measureGroup="tblHistory" count="0">
      <extLst>
        <ext xmlns:x15="http://schemas.microsoft.com/office/spreadsheetml/2010/11/main" uri="{B97F6D7D-B522-45F9-BDA1-12C45D357490}">
          <x15:cacheHierarchy aggregatedColumn="12"/>
        </ext>
      </extLst>
    </cacheHierarchy>
    <cacheHierarchy uniqueName="[Measures].[Sum of Wage]" caption="Sum of Wage" measure="1" displayFolder="" measureGroup="tblHistory" count="0">
      <extLst>
        <ext xmlns:x15="http://schemas.microsoft.com/office/spreadsheetml/2010/11/main" uri="{B97F6D7D-B522-45F9-BDA1-12C45D357490}">
          <x15:cacheHierarchy aggregatedColumn="13"/>
        </ext>
      </extLst>
    </cacheHierarchy>
    <cacheHierarchy uniqueName="[Measures].[Sum of MaxHourPerDay]" caption="Sum of MaxHourPerDay" measure="1" displayFolder="" measureGroup="tblHistory" count="0">
      <extLst>
        <ext xmlns:x15="http://schemas.microsoft.com/office/spreadsheetml/2010/11/main" uri="{B97F6D7D-B522-45F9-BDA1-12C45D357490}">
          <x15:cacheHierarchy aggregatedColumn="14"/>
        </ext>
      </extLst>
    </cacheHierarchy>
    <cacheHierarchy uniqueName="[Measures].[HolidayWeekendCount]" caption="HolidayWeekendCount" measure="1" displayFolder="" measureGroup="tblHistory" count="0" oneField="1">
      <fieldsUsage count="1">
        <fieldUsage x="3"/>
      </fieldsUsage>
    </cacheHierarchy>
    <cacheHierarchy uniqueName="[Measures].[AvgWagePerHour]" caption="AvgWagePerHour" measure="1" displayFolder="" measureGroup="tblHistory" count="0"/>
    <cacheHierarchy uniqueName="[Measures].[SafeHour]" caption="SafeHour" measure="1" displayFolder="" measureGroup="tblHistory" count="0"/>
    <cacheHierarchy uniqueName="[Measures].[OvertimedHour]" caption="OvertimedHour" measure="1" displayFolder="" measureGroup="tblHistory" count="0"/>
    <cacheHierarchy uniqueName="[Measures].[WorkloadPercentSafe]" caption="WorkloadPercentSafe" measure="1" displayFolder="" measureGroup="tblHistory" count="0"/>
    <cacheHierarchy uniqueName="[Measures].[WorkloadPercentOvertimed]" caption="WorkloadPercentOvertimed" measure="1" displayFolder="" measureGroup="tblHistory" count="0"/>
    <cacheHierarchy uniqueName="[Measures].[PremShiftBelow75]" caption="PremShiftBelow75" measure="1" displayFolder="" measureGroup="tblHistory" count="0"/>
    <cacheHierarchy uniqueName="[Measures].[PremShiftOver75]" caption="PremShiftOver75" measure="1" displayFolder="" measureGroup="tblHistory" count="0"/>
    <cacheHierarchy uniqueName="[Measures].[__XL_Count tblHistory]" caption="__XL_Count tblHistory" measure="1" displayFolder="" measureGroup="tblHistory" count="0" hidden="1"/>
    <cacheHierarchy uniqueName="[Measures].[__No measures defined]" caption="__No measures defined" measure="1" displayFolder="" count="0" hidden="1"/>
  </cacheHierarchies>
  <kpis count="0"/>
  <dimensions count="2">
    <dimension measure="1" name="Measures" uniqueName="[Measures]" caption="Measures"/>
    <dimension name="tblHistory" uniqueName="[tblHistory]" caption="tblHistory"/>
  </dimensions>
  <measureGroups count="1">
    <measureGroup name="tblHistory" caption="tblHistory"/>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FunWithExcel" refreshedDate="46139.48370138889" backgroundQuery="1" createdVersion="7" refreshedVersion="7" minRefreshableVersion="3" recordCount="0" supportSubquery="1" supportAdvancedDrill="1" xr:uid="{DB225949-E2C2-4D28-9441-209AFE0D1D83}">
  <cacheSource type="external" connectionId="2"/>
  <cacheFields count="5">
    <cacheField name="[Measures].[Distinct Count of StaffName]" caption="Distinct Count of StaffName" numFmtId="0" hierarchy="22" level="32767"/>
    <cacheField name="[Measures].[Sum of Wage]" caption="Sum of Wage" numFmtId="0" hierarchy="24" level="32767"/>
    <cacheField name="[tblHistory].[HolidayOrWeekend].[HolidayOrWeekend]" caption="HolidayOrWeekend" numFmtId="0" hierarchy="11" level="1">
      <sharedItems count="2">
        <s v="NO"/>
        <s v="YES"/>
      </sharedItems>
      <extLst>
        <ext xmlns:x15="http://schemas.microsoft.com/office/spreadsheetml/2010/11/main" uri="{4F2E5C28-24EA-4eb8-9CBF-B6C8F9C3D259}">
          <x15:cachedUniqueNames>
            <x15:cachedUniqueName index="0" name="[tblHistory].[HolidayOrWeekend].&amp;[NO]"/>
            <x15:cachedUniqueName index="1" name="[tblHistory].[HolidayOrWeekend].&amp;[YES]"/>
          </x15:cachedUniqueNames>
        </ext>
      </extLst>
    </cacheField>
    <cacheField name="[Measures].[AvgWagePerHour]" caption="AvgWagePerHour" numFmtId="0" hierarchy="27" level="32767"/>
    <cacheField name="[tblHistory].[RoleCategory].[RoleCategory]" caption="RoleCategory" numFmtId="0" hierarchy="2" level="1">
      <sharedItems containsSemiMixedTypes="0" containsNonDate="0" containsString="0"/>
    </cacheField>
  </cacheFields>
  <cacheHierarchies count="36">
    <cacheHierarchy uniqueName="[tblHistory].[StaffName]" caption="StaffName" attribute="1" defaultMemberUniqueName="[tblHistory].[StaffName].[All]" allUniqueName="[tblHistory].[StaffName].[All]" dimensionUniqueName="[tblHistory]" displayFolder="" count="2" memberValueDatatype="130" unbalanced="0"/>
    <cacheHierarchy uniqueName="[tblHistory].[Role]" caption="Role" attribute="1" defaultMemberUniqueName="[tblHistory].[Role].[All]" allUniqueName="[tblHistory].[Role].[All]" dimensionUniqueName="[tblHistory]" displayFolder="" count="2" memberValueDatatype="130" unbalanced="0"/>
    <cacheHierarchy uniqueName="[tblHistory].[RoleCategory]" caption="RoleCategory" attribute="1" defaultMemberUniqueName="[tblHistory].[RoleCategory].[All]" allUniqueName="[tblHistory].[RoleCategory].[All]" dimensionUniqueName="[tblHistory]" displayFolder="" count="2" memberValueDatatype="130" unbalanced="0">
      <fieldsUsage count="2">
        <fieldUsage x="-1"/>
        <fieldUsage x="4"/>
      </fieldsUsage>
    </cacheHierarchy>
    <cacheHierarchy uniqueName="[tblHistory].[FullPart]" caption="FullPart" attribute="1" defaultMemberUniqueName="[tblHistory].[FullPart].[All]" allUniqueName="[tblHistory].[FullPart].[All]" dimensionUniqueName="[tblHistory]" displayFolder="" count="2" memberValueDatatype="130" unbalanced="0"/>
    <cacheHierarchy uniqueName="[tblHistory].[HourlyRate]" caption="HourlyRate" attribute="1" defaultMemberUniqueName="[tblHistory].[HourlyRate].[All]" allUniqueName="[tblHistory].[HourlyRate].[All]" dimensionUniqueName="[tblHistory]" displayFolder="" count="2" memberValueDatatype="20" unbalanced="0"/>
    <cacheHierarchy uniqueName="[tblHistory].[MaxHour]" caption="MaxHour" attribute="1" defaultMemberUniqueName="[tblHistory].[MaxHour].[All]" allUniqueName="[tblHistory].[MaxHour].[All]" dimensionUniqueName="[tblHistory]" displayFolder="" count="2" memberValueDatatype="20" unbalanced="0"/>
    <cacheHierarchy uniqueName="[tblHistory].[WeekDay]" caption="WeekDay" attribute="1" defaultMemberUniqueName="[tblHistory].[WeekDay].[All]" allUniqueName="[tblHistory].[WeekDay].[All]" dimensionUniqueName="[tblHistory]" displayFolder="" count="2" memberValueDatatype="130" unbalanced="0"/>
    <cacheHierarchy uniqueName="[tblHistory].[ShiftCode]" caption="ShiftCode" attribute="1" defaultMemberUniqueName="[tblHistory].[ShiftCode].[All]" allUniqueName="[tblHistory].[ShiftCode].[All]" dimensionUniqueName="[tblHistory]" displayFolder="" count="2" memberValueDatatype="130" unbalanced="0"/>
    <cacheHierarchy uniqueName="[tblHistory].[Date]" caption="Date" attribute="1" time="1" defaultMemberUniqueName="[tblHistory].[Date].[All]" allUniqueName="[tblHistory].[Date].[All]" dimensionUniqueName="[tblHistory]" displayFolder="" count="2" memberValueDatatype="7" unbalanced="0"/>
    <cacheHierarchy uniqueName="[tblHistory].[IsWeekend]" caption="IsWeekend" attribute="1" defaultMemberUniqueName="[tblHistory].[IsWeekend].[All]" allUniqueName="[tblHistory].[IsWeekend].[All]" dimensionUniqueName="[tblHistory]" displayFolder="" count="2" memberValueDatatype="130" unbalanced="0"/>
    <cacheHierarchy uniqueName="[tblHistory].[IsHoliday]" caption="IsHoliday" attribute="1" defaultMemberUniqueName="[tblHistory].[IsHoliday].[All]" allUniqueName="[tblHistory].[IsHoliday].[All]" dimensionUniqueName="[tblHistory]" displayFolder="" count="2" memberValueDatatype="130" unbalanced="0"/>
    <cacheHierarchy uniqueName="[tblHistory].[HolidayOrWeekend]" caption="HolidayOrWeekend" attribute="1" defaultMemberUniqueName="[tblHistory].[HolidayOrWeekend].[All]" allUniqueName="[tblHistory].[HolidayOrWeekend].[All]" dimensionUniqueName="[tblHistory]" displayFolder="" count="2" memberValueDatatype="130" unbalanced="0">
      <fieldsUsage count="2">
        <fieldUsage x="-1"/>
        <fieldUsage x="2"/>
      </fieldsUsage>
    </cacheHierarchy>
    <cacheHierarchy uniqueName="[tblHistory].[WorkingHour]" caption="WorkingHour" attribute="1" defaultMemberUniqueName="[tblHistory].[WorkingHour].[All]" allUniqueName="[tblHistory].[WorkingHour].[All]" dimensionUniqueName="[tblHistory]" displayFolder="" count="2" memberValueDatatype="5" unbalanced="0"/>
    <cacheHierarchy uniqueName="[tblHistory].[Wage]" caption="Wage" attribute="1" defaultMemberUniqueName="[tblHistory].[Wage].[All]" allUniqueName="[tblHistory].[Wage].[All]" dimensionUniqueName="[tblHistory]" displayFolder="" count="2" memberValueDatatype="5" unbalanced="0"/>
    <cacheHierarchy uniqueName="[tblHistory].[MaxHourPerDay]" caption="MaxHourPerDay" attribute="1" defaultMemberUniqueName="[tblHistory].[MaxHourPerDay].[All]" allUniqueName="[tblHistory].[MaxHourPerDay].[All]" dimensionUniqueName="[tblHistory]" displayFolder="" count="2" memberValueDatatype="5" unbalanced="0"/>
    <cacheHierarchy uniqueName="[tblHistory].[PremiumShift]" caption="PremiumShift" attribute="1" defaultMemberUniqueName="[tblHistory].[PremiumShift].[All]" allUniqueName="[tblHistory].[PremiumShift].[All]" dimensionUniqueName="[tblHistory]" displayFolder="" count="2" memberValueDatatype="20" unbalanced="0"/>
    <cacheHierarchy uniqueName="[tblHistory].[Date (Year)]" caption="Date (Year)" attribute="1" defaultMemberUniqueName="[tblHistory].[Date (Year)].[All]" allUniqueName="[tblHistory].[Date (Year)].[All]" dimensionUniqueName="[tblHistory]" displayFolder="" count="2" memberValueDatatype="130" unbalanced="0"/>
    <cacheHierarchy uniqueName="[tblHistory].[Date (Quarter)]" caption="Date (Quarter)" attribute="1" defaultMemberUniqueName="[tblHistory].[Date (Quarter)].[All]" allUniqueName="[tblHistory].[Date (Quarter)].[All]" dimensionUniqueName="[tblHistory]" displayFolder="" count="2" memberValueDatatype="130" unbalanced="0"/>
    <cacheHierarchy uniqueName="[tblHistory].[Date (Month)]" caption="Date (Month)" attribute="1" defaultMemberUniqueName="[tblHistory].[Date (Month)].[All]" allUniqueName="[tblHistory].[Date (Month)].[All]" dimensionUniqueName="[tblHistory]" displayFolder="" count="2" memberValueDatatype="130" unbalanced="0"/>
    <cacheHierarchy uniqueName="[tblHistory].[Date (Month Index)]" caption="Date (Month Index)" attribute="1" defaultMemberUniqueName="[tblHistory].[Date (Month Index)].[All]" allUniqueName="[tblHistory].[Date (Month Index)].[All]" dimensionUniqueName="[tblHistory]" displayFolder="" count="2" memberValueDatatype="20" unbalanced="0" hidden="1"/>
    <cacheHierarchy uniqueName="[Measures].[Sum of PremiumShift]" caption="Sum of PremiumShift" measure="1" displayFolder="" measureGroup="tblHistory" count="0">
      <extLst>
        <ext xmlns:x15="http://schemas.microsoft.com/office/spreadsheetml/2010/11/main" uri="{B97F6D7D-B522-45F9-BDA1-12C45D357490}">
          <x15:cacheHierarchy aggregatedColumn="15"/>
        </ext>
      </extLst>
    </cacheHierarchy>
    <cacheHierarchy uniqueName="[Measures].[Count of StaffName]" caption="Count of StaffName" measure="1" displayFolder="" measureGroup="tblHistory" count="0">
      <extLst>
        <ext xmlns:x15="http://schemas.microsoft.com/office/spreadsheetml/2010/11/main" uri="{B97F6D7D-B522-45F9-BDA1-12C45D357490}">
          <x15:cacheHierarchy aggregatedColumn="0"/>
        </ext>
      </extLst>
    </cacheHierarchy>
    <cacheHierarchy uniqueName="[Measures].[Distinct Count of StaffName]" caption="Distinct Count of StaffName" measure="1" displayFolder="" measureGroup="tblHistory" count="0" oneField="1">
      <fieldsUsage count="1">
        <fieldUsage x="0"/>
      </fieldsUsage>
      <extLst>
        <ext xmlns:x15="http://schemas.microsoft.com/office/spreadsheetml/2010/11/main" uri="{B97F6D7D-B522-45F9-BDA1-12C45D357490}">
          <x15:cacheHierarchy aggregatedColumn="0"/>
        </ext>
      </extLst>
    </cacheHierarchy>
    <cacheHierarchy uniqueName="[Measures].[Sum of WorkingHour]" caption="Sum of WorkingHour" measure="1" displayFolder="" measureGroup="tblHistory" count="0">
      <extLst>
        <ext xmlns:x15="http://schemas.microsoft.com/office/spreadsheetml/2010/11/main" uri="{B97F6D7D-B522-45F9-BDA1-12C45D357490}">
          <x15:cacheHierarchy aggregatedColumn="12"/>
        </ext>
      </extLst>
    </cacheHierarchy>
    <cacheHierarchy uniqueName="[Measures].[Sum of Wage]" caption="Sum of Wage" measure="1" displayFolder="" measureGroup="tblHistory" count="0" oneField="1">
      <fieldsUsage count="1">
        <fieldUsage x="1"/>
      </fieldsUsage>
      <extLst>
        <ext xmlns:x15="http://schemas.microsoft.com/office/spreadsheetml/2010/11/main" uri="{B97F6D7D-B522-45F9-BDA1-12C45D357490}">
          <x15:cacheHierarchy aggregatedColumn="13"/>
        </ext>
      </extLst>
    </cacheHierarchy>
    <cacheHierarchy uniqueName="[Measures].[Sum of MaxHourPerDay]" caption="Sum of MaxHourPerDay" measure="1" displayFolder="" measureGroup="tblHistory" count="0">
      <extLst>
        <ext xmlns:x15="http://schemas.microsoft.com/office/spreadsheetml/2010/11/main" uri="{B97F6D7D-B522-45F9-BDA1-12C45D357490}">
          <x15:cacheHierarchy aggregatedColumn="14"/>
        </ext>
      </extLst>
    </cacheHierarchy>
    <cacheHierarchy uniqueName="[Measures].[HolidayWeekendCount]" caption="HolidayWeekendCount" measure="1" displayFolder="" measureGroup="tblHistory" count="0"/>
    <cacheHierarchy uniqueName="[Measures].[AvgWagePerHour]" caption="AvgWagePerHour" measure="1" displayFolder="" measureGroup="tblHistory" count="0" oneField="1">
      <fieldsUsage count="1">
        <fieldUsage x="3"/>
      </fieldsUsage>
    </cacheHierarchy>
    <cacheHierarchy uniqueName="[Measures].[SafeHour]" caption="SafeHour" measure="1" displayFolder="" measureGroup="tblHistory" count="0"/>
    <cacheHierarchy uniqueName="[Measures].[OvertimedHour]" caption="OvertimedHour" measure="1" displayFolder="" measureGroup="tblHistory" count="0"/>
    <cacheHierarchy uniqueName="[Measures].[WorkloadPercentSafe]" caption="WorkloadPercentSafe" measure="1" displayFolder="" measureGroup="tblHistory" count="0"/>
    <cacheHierarchy uniqueName="[Measures].[WorkloadPercentOvertimed]" caption="WorkloadPercentOvertimed" measure="1" displayFolder="" measureGroup="tblHistory" count="0"/>
    <cacheHierarchy uniqueName="[Measures].[PremShiftBelow75]" caption="PremShiftBelow75" measure="1" displayFolder="" measureGroup="tblHistory" count="0"/>
    <cacheHierarchy uniqueName="[Measures].[PremShiftOver75]" caption="PremShiftOver75" measure="1" displayFolder="" measureGroup="tblHistory" count="0"/>
    <cacheHierarchy uniqueName="[Measures].[__XL_Count tblHistory]" caption="__XL_Count tblHistory" measure="1" displayFolder="" measureGroup="tblHistory" count="0" hidden="1"/>
    <cacheHierarchy uniqueName="[Measures].[__No measures defined]" caption="__No measures defined" measure="1" displayFolder="" count="0" hidden="1"/>
  </cacheHierarchies>
  <kpis count="0"/>
  <dimensions count="2">
    <dimension measure="1" name="Measures" uniqueName="[Measures]" caption="Measures"/>
    <dimension name="tblHistory" uniqueName="[tblHistory]" caption="tblHistory"/>
  </dimensions>
  <measureGroups count="1">
    <measureGroup name="tblHistory" caption="tblHistory"/>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FunWithExcel" refreshedDate="46139.483701736113" backgroundQuery="1" createdVersion="7" refreshedVersion="7" minRefreshableVersion="3" recordCount="0" supportSubquery="1" supportAdvancedDrill="1" xr:uid="{FDA0AEED-DCE7-4BF3-A598-15FF918955D8}">
  <cacheSource type="external" connectionId="2"/>
  <cacheFields count="3">
    <cacheField name="[tblHistory].[WeekDay].[WeekDay]" caption="WeekDay" numFmtId="0" hierarchy="6" level="1">
      <sharedItems count="7">
        <s v="Fri"/>
        <s v="Mon"/>
        <s v="Sat"/>
        <s v="Sun"/>
        <s v="Thu"/>
        <s v="Tue"/>
        <s v="Wed"/>
      </sharedItems>
      <extLst>
        <ext xmlns:x15="http://schemas.microsoft.com/office/spreadsheetml/2010/11/main" uri="{4F2E5C28-24EA-4eb8-9CBF-B6C8F9C3D259}">
          <x15:cachedUniqueNames>
            <x15:cachedUniqueName index="0" name="[tblHistory].[WeekDay].&amp;[Fri]"/>
            <x15:cachedUniqueName index="1" name="[tblHistory].[WeekDay].&amp;[Mon]"/>
            <x15:cachedUniqueName index="2" name="[tblHistory].[WeekDay].&amp;[Sat]"/>
            <x15:cachedUniqueName index="3" name="[tblHistory].[WeekDay].&amp;[Sun]"/>
            <x15:cachedUniqueName index="4" name="[tblHistory].[WeekDay].&amp;[Thu]"/>
            <x15:cachedUniqueName index="5" name="[tblHistory].[WeekDay].&amp;[Tue]"/>
            <x15:cachedUniqueName index="6" name="[tblHistory].[WeekDay].&amp;[Wed]"/>
          </x15:cachedUniqueNames>
        </ext>
      </extLst>
    </cacheField>
    <cacheField name="[tblHistory].[RoleCategory].[RoleCategory]" caption="RoleCategory" numFmtId="0" hierarchy="2" level="1">
      <sharedItems count="3">
        <s v="Chef"/>
        <s v="Manager"/>
        <s v="Server"/>
      </sharedItems>
      <extLst>
        <ext xmlns:x15="http://schemas.microsoft.com/office/spreadsheetml/2010/11/main" uri="{4F2E5C28-24EA-4eb8-9CBF-B6C8F9C3D259}">
          <x15:cachedUniqueNames>
            <x15:cachedUniqueName index="0" name="[tblHistory].[RoleCategory].&amp;[Chef]"/>
            <x15:cachedUniqueName index="1" name="[tblHistory].[RoleCategory].&amp;[Manager]"/>
            <x15:cachedUniqueName index="2" name="[tblHistory].[RoleCategory].&amp;[Server]"/>
          </x15:cachedUniqueNames>
        </ext>
      </extLst>
    </cacheField>
    <cacheField name="[Measures].[Sum of WorkingHour]" caption="Sum of WorkingHour" numFmtId="0" hierarchy="23" level="32767"/>
  </cacheFields>
  <cacheHierarchies count="36">
    <cacheHierarchy uniqueName="[tblHistory].[StaffName]" caption="StaffName" attribute="1" defaultMemberUniqueName="[tblHistory].[StaffName].[All]" allUniqueName="[tblHistory].[StaffName].[All]" dimensionUniqueName="[tblHistory]" displayFolder="" count="2" memberValueDatatype="130" unbalanced="0"/>
    <cacheHierarchy uniqueName="[tblHistory].[Role]" caption="Role" attribute="1" defaultMemberUniqueName="[tblHistory].[Role].[All]" allUniqueName="[tblHistory].[Role].[All]" dimensionUniqueName="[tblHistory]" displayFolder="" count="0" memberValueDatatype="130" unbalanced="0"/>
    <cacheHierarchy uniqueName="[tblHistory].[RoleCategory]" caption="RoleCategory" attribute="1" defaultMemberUniqueName="[tblHistory].[RoleCategory].[All]" allUniqueName="[tblHistory].[RoleCategory].[All]" dimensionUniqueName="[tblHistory]" displayFolder="" count="2" memberValueDatatype="130" unbalanced="0">
      <fieldsUsage count="2">
        <fieldUsage x="-1"/>
        <fieldUsage x="1"/>
      </fieldsUsage>
    </cacheHierarchy>
    <cacheHierarchy uniqueName="[tblHistory].[FullPart]" caption="FullPart" attribute="1" defaultMemberUniqueName="[tblHistory].[FullPart].[All]" allUniqueName="[tblHistory].[FullPart].[All]" dimensionUniqueName="[tblHistory]" displayFolder="" count="2" memberValueDatatype="130" unbalanced="0"/>
    <cacheHierarchy uniqueName="[tblHistory].[HourlyRate]" caption="HourlyRate" attribute="1" defaultMemberUniqueName="[tblHistory].[HourlyRate].[All]" allUniqueName="[tblHistory].[HourlyRate].[All]" dimensionUniqueName="[tblHistory]" displayFolder="" count="0" memberValueDatatype="20" unbalanced="0"/>
    <cacheHierarchy uniqueName="[tblHistory].[MaxHour]" caption="MaxHour" attribute="1" defaultMemberUniqueName="[tblHistory].[MaxHour].[All]" allUniqueName="[tblHistory].[MaxHour].[All]" dimensionUniqueName="[tblHistory]" displayFolder="" count="0" memberValueDatatype="20" unbalanced="0"/>
    <cacheHierarchy uniqueName="[tblHistory].[WeekDay]" caption="WeekDay" attribute="1" defaultMemberUniqueName="[tblHistory].[WeekDay].[All]" allUniqueName="[tblHistory].[WeekDay].[All]" dimensionUniqueName="[tblHistory]" displayFolder="" count="2" memberValueDatatype="130" unbalanced="0">
      <fieldsUsage count="2">
        <fieldUsage x="-1"/>
        <fieldUsage x="0"/>
      </fieldsUsage>
    </cacheHierarchy>
    <cacheHierarchy uniqueName="[tblHistory].[ShiftCode]" caption="ShiftCode" attribute="1" defaultMemberUniqueName="[tblHistory].[ShiftCode].[All]" allUniqueName="[tblHistory].[ShiftCode].[All]" dimensionUniqueName="[tblHistory]" displayFolder="" count="0" memberValueDatatype="130" unbalanced="0"/>
    <cacheHierarchy uniqueName="[tblHistory].[Date]" caption="Date" attribute="1" time="1" defaultMemberUniqueName="[tblHistory].[Date].[All]" allUniqueName="[tblHistory].[Date].[All]" dimensionUniqueName="[tblHistory]" displayFolder="" count="2" memberValueDatatype="7" unbalanced="0"/>
    <cacheHierarchy uniqueName="[tblHistory].[IsWeekend]" caption="IsWeekend" attribute="1" defaultMemberUniqueName="[tblHistory].[IsWeekend].[All]" allUniqueName="[tblHistory].[IsWeekend].[All]" dimensionUniqueName="[tblHistory]" displayFolder="" count="0" memberValueDatatype="130" unbalanced="0"/>
    <cacheHierarchy uniqueName="[tblHistory].[IsHoliday]" caption="IsHoliday" attribute="1" defaultMemberUniqueName="[tblHistory].[IsHoliday].[All]" allUniqueName="[tblHistory].[IsHoliday].[All]" dimensionUniqueName="[tblHistory]" displayFolder="" count="0" memberValueDatatype="130" unbalanced="0"/>
    <cacheHierarchy uniqueName="[tblHistory].[HolidayOrWeekend]" caption="HolidayOrWeekend" attribute="1" defaultMemberUniqueName="[tblHistory].[HolidayOrWeekend].[All]" allUniqueName="[tblHistory].[HolidayOrWeekend].[All]" dimensionUniqueName="[tblHistory]" displayFolder="" count="0" memberValueDatatype="130" unbalanced="0"/>
    <cacheHierarchy uniqueName="[tblHistory].[WorkingHour]" caption="WorkingHour" attribute="1" defaultMemberUniqueName="[tblHistory].[WorkingHour].[All]" allUniqueName="[tblHistory].[WorkingHour].[All]" dimensionUniqueName="[tblHistory]" displayFolder="" count="0" memberValueDatatype="5" unbalanced="0"/>
    <cacheHierarchy uniqueName="[tblHistory].[Wage]" caption="Wage" attribute="1" defaultMemberUniqueName="[tblHistory].[Wage].[All]" allUniqueName="[tblHistory].[Wage].[All]" dimensionUniqueName="[tblHistory]" displayFolder="" count="0" memberValueDatatype="5" unbalanced="0"/>
    <cacheHierarchy uniqueName="[tblHistory].[MaxHourPerDay]" caption="MaxHourPerDay" attribute="1" defaultMemberUniqueName="[tblHistory].[MaxHourPerDay].[All]" allUniqueName="[tblHistory].[MaxHourPerDay].[All]" dimensionUniqueName="[tblHistory]" displayFolder="" count="0" memberValueDatatype="5" unbalanced="0"/>
    <cacheHierarchy uniqueName="[tblHistory].[PremiumShift]" caption="PremiumShift" attribute="1" defaultMemberUniqueName="[tblHistory].[PremiumShift].[All]" allUniqueName="[tblHistory].[PremiumShift].[All]" dimensionUniqueName="[tblHistory]" displayFolder="" count="0" memberValueDatatype="20" unbalanced="0"/>
    <cacheHierarchy uniqueName="[tblHistory].[Date (Year)]" caption="Date (Year)" attribute="1" defaultMemberUniqueName="[tblHistory].[Date (Year)].[All]" allUniqueName="[tblHistory].[Date (Year)].[All]" dimensionUniqueName="[tblHistory]" displayFolder="" count="0" memberValueDatatype="130" unbalanced="0"/>
    <cacheHierarchy uniqueName="[tblHistory].[Date (Quarter)]" caption="Date (Quarter)" attribute="1" defaultMemberUniqueName="[tblHistory].[Date (Quarter)].[All]" allUniqueName="[tblHistory].[Date (Quarter)].[All]" dimensionUniqueName="[tblHistory]" displayFolder="" count="0" memberValueDatatype="130" unbalanced="0"/>
    <cacheHierarchy uniqueName="[tblHistory].[Date (Month)]" caption="Date (Month)" attribute="1" defaultMemberUniqueName="[tblHistory].[Date (Month)].[All]" allUniqueName="[tblHistory].[Date (Month)].[All]" dimensionUniqueName="[tblHistory]" displayFolder="" count="0" memberValueDatatype="130" unbalanced="0"/>
    <cacheHierarchy uniqueName="[tblHistory].[Date (Month Index)]" caption="Date (Month Index)" attribute="1" defaultMemberUniqueName="[tblHistory].[Date (Month Index)].[All]" allUniqueName="[tblHistory].[Date (Month Index)].[All]" dimensionUniqueName="[tblHistory]" displayFolder="" count="0" memberValueDatatype="20" unbalanced="0" hidden="1"/>
    <cacheHierarchy uniqueName="[Measures].[Sum of PremiumShift]" caption="Sum of PremiumShift" measure="1" displayFolder="" measureGroup="tblHistory" count="0">
      <extLst>
        <ext xmlns:x15="http://schemas.microsoft.com/office/spreadsheetml/2010/11/main" uri="{B97F6D7D-B522-45F9-BDA1-12C45D357490}">
          <x15:cacheHierarchy aggregatedColumn="15"/>
        </ext>
      </extLst>
    </cacheHierarchy>
    <cacheHierarchy uniqueName="[Measures].[Count of StaffName]" caption="Count of StaffName" measure="1" displayFolder="" measureGroup="tblHistory" count="0">
      <extLst>
        <ext xmlns:x15="http://schemas.microsoft.com/office/spreadsheetml/2010/11/main" uri="{B97F6D7D-B522-45F9-BDA1-12C45D357490}">
          <x15:cacheHierarchy aggregatedColumn="0"/>
        </ext>
      </extLst>
    </cacheHierarchy>
    <cacheHierarchy uniqueName="[Measures].[Distinct Count of StaffName]" caption="Distinct Count of StaffName" measure="1" displayFolder="" measureGroup="tblHistory" count="0">
      <extLst>
        <ext xmlns:x15="http://schemas.microsoft.com/office/spreadsheetml/2010/11/main" uri="{B97F6D7D-B522-45F9-BDA1-12C45D357490}">
          <x15:cacheHierarchy aggregatedColumn="0"/>
        </ext>
      </extLst>
    </cacheHierarchy>
    <cacheHierarchy uniqueName="[Measures].[Sum of WorkingHour]" caption="Sum of WorkingHour" measure="1" displayFolder="" measureGroup="tblHistory" count="0" oneField="1">
      <fieldsUsage count="1">
        <fieldUsage x="2"/>
      </fieldsUsage>
      <extLst>
        <ext xmlns:x15="http://schemas.microsoft.com/office/spreadsheetml/2010/11/main" uri="{B97F6D7D-B522-45F9-BDA1-12C45D357490}">
          <x15:cacheHierarchy aggregatedColumn="12"/>
        </ext>
      </extLst>
    </cacheHierarchy>
    <cacheHierarchy uniqueName="[Measures].[Sum of Wage]" caption="Sum of Wage" measure="1" displayFolder="" measureGroup="tblHistory" count="0">
      <extLst>
        <ext xmlns:x15="http://schemas.microsoft.com/office/spreadsheetml/2010/11/main" uri="{B97F6D7D-B522-45F9-BDA1-12C45D357490}">
          <x15:cacheHierarchy aggregatedColumn="13"/>
        </ext>
      </extLst>
    </cacheHierarchy>
    <cacheHierarchy uniqueName="[Measures].[Sum of MaxHourPerDay]" caption="Sum of MaxHourPerDay" measure="1" displayFolder="" measureGroup="tblHistory" count="0">
      <extLst>
        <ext xmlns:x15="http://schemas.microsoft.com/office/spreadsheetml/2010/11/main" uri="{B97F6D7D-B522-45F9-BDA1-12C45D357490}">
          <x15:cacheHierarchy aggregatedColumn="14"/>
        </ext>
      </extLst>
    </cacheHierarchy>
    <cacheHierarchy uniqueName="[Measures].[HolidayWeekendCount]" caption="HolidayWeekendCount" measure="1" displayFolder="" measureGroup="tblHistory" count="0"/>
    <cacheHierarchy uniqueName="[Measures].[AvgWagePerHour]" caption="AvgWagePerHour" measure="1" displayFolder="" measureGroup="tblHistory" count="0"/>
    <cacheHierarchy uniqueName="[Measures].[SafeHour]" caption="SafeHour" measure="1" displayFolder="" measureGroup="tblHistory" count="0"/>
    <cacheHierarchy uniqueName="[Measures].[OvertimedHour]" caption="OvertimedHour" measure="1" displayFolder="" measureGroup="tblHistory" count="0"/>
    <cacheHierarchy uniqueName="[Measures].[WorkloadPercentSafe]" caption="WorkloadPercentSafe" measure="1" displayFolder="" measureGroup="tblHistory" count="0"/>
    <cacheHierarchy uniqueName="[Measures].[WorkloadPercentOvertimed]" caption="WorkloadPercentOvertimed" measure="1" displayFolder="" measureGroup="tblHistory" count="0"/>
    <cacheHierarchy uniqueName="[Measures].[PremShiftBelow75]" caption="PremShiftBelow75" measure="1" displayFolder="" measureGroup="tblHistory" count="0"/>
    <cacheHierarchy uniqueName="[Measures].[PremShiftOver75]" caption="PremShiftOver75" measure="1" displayFolder="" measureGroup="tblHistory" count="0"/>
    <cacheHierarchy uniqueName="[Measures].[__XL_Count tblHistory]" caption="__XL_Count tblHistory" measure="1" displayFolder="" measureGroup="tblHistory" count="0" hidden="1"/>
    <cacheHierarchy uniqueName="[Measures].[__No measures defined]" caption="__No measures defined" measure="1" displayFolder="" count="0" hidden="1"/>
  </cacheHierarchies>
  <kpis count="0"/>
  <dimensions count="2">
    <dimension measure="1" name="Measures" uniqueName="[Measures]" caption="Measures"/>
    <dimension name="tblHistory" uniqueName="[tblHistory]" caption="tblHistory"/>
  </dimensions>
  <measureGroups count="1">
    <measureGroup name="tblHistory" caption="tblHistory"/>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FunWithExcel" refreshedDate="46139.483702083337" backgroundQuery="1" createdVersion="7" refreshedVersion="7" minRefreshableVersion="3" recordCount="0" supportSubquery="1" supportAdvancedDrill="1" xr:uid="{4D59F1D1-37C7-48D3-97FF-1D398AE812DB}">
  <cacheSource type="external" connectionId="2"/>
  <cacheFields count="5">
    <cacheField name="[tblHistory].[RoleCategory].[RoleCategory]" caption="RoleCategory" numFmtId="0" hierarchy="2" level="1">
      <sharedItems count="3">
        <s v="Chef"/>
        <s v="Manager"/>
        <s v="Server"/>
      </sharedItems>
      <extLst>
        <ext xmlns:x15="http://schemas.microsoft.com/office/spreadsheetml/2010/11/main" uri="{4F2E5C28-24EA-4eb8-9CBF-B6C8F9C3D259}">
          <x15:cachedUniqueNames>
            <x15:cachedUniqueName index="0" name="[tblHistory].[RoleCategory].&amp;[Chef]"/>
            <x15:cachedUniqueName index="1" name="[tblHistory].[RoleCategory].&amp;[Manager]"/>
            <x15:cachedUniqueName index="2" name="[tblHistory].[RoleCategory].&amp;[Server]"/>
          </x15:cachedUniqueNames>
        </ext>
      </extLst>
    </cacheField>
    <cacheField name="[tblHistory].[StaffName].[StaffName]" caption="StaffName" numFmtId="0" level="1">
      <sharedItems count="13">
        <s v="Glenn Silver"/>
        <s v="Jenna Gold"/>
        <s v="Max Titanium"/>
        <s v="Oliver East"/>
        <s v="David South"/>
        <s v="Jonh West"/>
        <s v="Will North"/>
        <s v="Aaliyah Khan"/>
        <s v="Elena Rodriguez"/>
        <s v="Julian Chen"/>
        <s v="Leo Moretti"/>
        <s v="Marcus Thompson"/>
        <s v="Sarah Jenkins"/>
      </sharedItems>
      <extLst>
        <ext xmlns:x15="http://schemas.microsoft.com/office/spreadsheetml/2010/11/main" uri="{4F2E5C28-24EA-4eb8-9CBF-B6C8F9C3D259}">
          <x15:cachedUniqueNames>
            <x15:cachedUniqueName index="0" name="[tblHistory].[StaffName].&amp;[Glenn Silver]"/>
            <x15:cachedUniqueName index="1" name="[tblHistory].[StaffName].&amp;[Jenna Gold]"/>
            <x15:cachedUniqueName index="2" name="[tblHistory].[StaffName].&amp;[Max Titanium]"/>
            <x15:cachedUniqueName index="3" name="[tblHistory].[StaffName].&amp;[Oliver East]"/>
            <x15:cachedUniqueName index="4" name="[tblHistory].[StaffName].&amp;[David South]"/>
            <x15:cachedUniqueName index="5" name="[tblHistory].[StaffName].&amp;[Jonh West]"/>
            <x15:cachedUniqueName index="6" name="[tblHistory].[StaffName].&amp;[Will North]"/>
            <x15:cachedUniqueName index="7" name="[tblHistory].[StaffName].&amp;[Aaliyah Khan]"/>
            <x15:cachedUniqueName index="8" name="[tblHistory].[StaffName].&amp;[Elena Rodriguez]"/>
            <x15:cachedUniqueName index="9" name="[tblHistory].[StaffName].&amp;[Julian Chen]"/>
            <x15:cachedUniqueName index="10" name="[tblHistory].[StaffName].&amp;[Leo Moretti]"/>
            <x15:cachedUniqueName index="11" name="[tblHistory].[StaffName].&amp;[Marcus Thompson]"/>
            <x15:cachedUniqueName index="12" name="[tblHistory].[StaffName].&amp;[Sarah Jenkins]"/>
          </x15:cachedUniqueNames>
        </ext>
      </extLst>
    </cacheField>
    <cacheField name="[Measures].[Sum of MaxHourPerDay]" caption="Sum of MaxHourPerDay" numFmtId="0" hierarchy="25" level="32767"/>
    <cacheField name="[Measures].[SafeHour]" caption="SafeHour" numFmtId="0" hierarchy="28" level="32767"/>
    <cacheField name="[Measures].[OvertimedHour]" caption="OvertimedHour" numFmtId="0" hierarchy="29" level="32767"/>
  </cacheFields>
  <cacheHierarchies count="36">
    <cacheHierarchy uniqueName="[tblHistory].[StaffName]" caption="StaffName" attribute="1" defaultMemberUniqueName="[tblHistory].[StaffName].[All]" allUniqueName="[tblHistory].[StaffName].[All]" dimensionUniqueName="[tblHistory]" displayFolder="" count="2" memberValueDatatype="130" unbalanced="0">
      <fieldsUsage count="2">
        <fieldUsage x="-1"/>
        <fieldUsage x="1"/>
      </fieldsUsage>
    </cacheHierarchy>
    <cacheHierarchy uniqueName="[tblHistory].[Role]" caption="Role" attribute="1" defaultMemberUniqueName="[tblHistory].[Role].[All]" allUniqueName="[tblHistory].[Role].[All]" dimensionUniqueName="[tblHistory]" displayFolder="" count="0" memberValueDatatype="130" unbalanced="0"/>
    <cacheHierarchy uniqueName="[tblHistory].[RoleCategory]" caption="RoleCategory" attribute="1" defaultMemberUniqueName="[tblHistory].[RoleCategory].[All]" allUniqueName="[tblHistory].[RoleCategory].[All]" dimensionUniqueName="[tblHistory]" displayFolder="" count="2" memberValueDatatype="130" unbalanced="0">
      <fieldsUsage count="2">
        <fieldUsage x="-1"/>
        <fieldUsage x="0"/>
      </fieldsUsage>
    </cacheHierarchy>
    <cacheHierarchy uniqueName="[tblHistory].[FullPart]" caption="FullPart" attribute="1" defaultMemberUniqueName="[tblHistory].[FullPart].[All]" allUniqueName="[tblHistory].[FullPart].[All]" dimensionUniqueName="[tblHistory]" displayFolder="" count="2" memberValueDatatype="130" unbalanced="0"/>
    <cacheHierarchy uniqueName="[tblHistory].[HourlyRate]" caption="HourlyRate" attribute="1" defaultMemberUniqueName="[tblHistory].[HourlyRate].[All]" allUniqueName="[tblHistory].[HourlyRate].[All]" dimensionUniqueName="[tblHistory]" displayFolder="" count="0" memberValueDatatype="20" unbalanced="0"/>
    <cacheHierarchy uniqueName="[tblHistory].[MaxHour]" caption="MaxHour" attribute="1" defaultMemberUniqueName="[tblHistory].[MaxHour].[All]" allUniqueName="[tblHistory].[MaxHour].[All]" dimensionUniqueName="[tblHistory]" displayFolder="" count="0" memberValueDatatype="20" unbalanced="0"/>
    <cacheHierarchy uniqueName="[tblHistory].[WeekDay]" caption="WeekDay" attribute="1" defaultMemberUniqueName="[tblHistory].[WeekDay].[All]" allUniqueName="[tblHistory].[WeekDay].[All]" dimensionUniqueName="[tblHistory]" displayFolder="" count="0" memberValueDatatype="130" unbalanced="0"/>
    <cacheHierarchy uniqueName="[tblHistory].[ShiftCode]" caption="ShiftCode" attribute="1" defaultMemberUniqueName="[tblHistory].[ShiftCode].[All]" allUniqueName="[tblHistory].[ShiftCode].[All]" dimensionUniqueName="[tblHistory]" displayFolder="" count="0" memberValueDatatype="130" unbalanced="0"/>
    <cacheHierarchy uniqueName="[tblHistory].[Date]" caption="Date" attribute="1" time="1" defaultMemberUniqueName="[tblHistory].[Date].[All]" allUniqueName="[tblHistory].[Date].[All]" dimensionUniqueName="[tblHistory]" displayFolder="" count="2" memberValueDatatype="7" unbalanced="0"/>
    <cacheHierarchy uniqueName="[tblHistory].[IsWeekend]" caption="IsWeekend" attribute="1" defaultMemberUniqueName="[tblHistory].[IsWeekend].[All]" allUniqueName="[tblHistory].[IsWeekend].[All]" dimensionUniqueName="[tblHistory]" displayFolder="" count="0" memberValueDatatype="130" unbalanced="0"/>
    <cacheHierarchy uniqueName="[tblHistory].[IsHoliday]" caption="IsHoliday" attribute="1" defaultMemberUniqueName="[tblHistory].[IsHoliday].[All]" allUniqueName="[tblHistory].[IsHoliday].[All]" dimensionUniqueName="[tblHistory]" displayFolder="" count="0" memberValueDatatype="130" unbalanced="0"/>
    <cacheHierarchy uniqueName="[tblHistory].[HolidayOrWeekend]" caption="HolidayOrWeekend" attribute="1" defaultMemberUniqueName="[tblHistory].[HolidayOrWeekend].[All]" allUniqueName="[tblHistory].[HolidayOrWeekend].[All]" dimensionUniqueName="[tblHistory]" displayFolder="" count="0" memberValueDatatype="130" unbalanced="0"/>
    <cacheHierarchy uniqueName="[tblHistory].[WorkingHour]" caption="WorkingHour" attribute="1" defaultMemberUniqueName="[tblHistory].[WorkingHour].[All]" allUniqueName="[tblHistory].[WorkingHour].[All]" dimensionUniqueName="[tblHistory]" displayFolder="" count="0" memberValueDatatype="5" unbalanced="0"/>
    <cacheHierarchy uniqueName="[tblHistory].[Wage]" caption="Wage" attribute="1" defaultMemberUniqueName="[tblHistory].[Wage].[All]" allUniqueName="[tblHistory].[Wage].[All]" dimensionUniqueName="[tblHistory]" displayFolder="" count="0" memberValueDatatype="5" unbalanced="0"/>
    <cacheHierarchy uniqueName="[tblHistory].[MaxHourPerDay]" caption="MaxHourPerDay" attribute="1" defaultMemberUniqueName="[tblHistory].[MaxHourPerDay].[All]" allUniqueName="[tblHistory].[MaxHourPerDay].[All]" dimensionUniqueName="[tblHistory]" displayFolder="" count="0" memberValueDatatype="5" unbalanced="0"/>
    <cacheHierarchy uniqueName="[tblHistory].[PremiumShift]" caption="PremiumShift" attribute="1" defaultMemberUniqueName="[tblHistory].[PremiumShift].[All]" allUniqueName="[tblHistory].[PremiumShift].[All]" dimensionUniqueName="[tblHistory]" displayFolder="" count="0" memberValueDatatype="20" unbalanced="0"/>
    <cacheHierarchy uniqueName="[tblHistory].[Date (Year)]" caption="Date (Year)" attribute="1" defaultMemberUniqueName="[tblHistory].[Date (Year)].[All]" allUniqueName="[tblHistory].[Date (Year)].[All]" dimensionUniqueName="[tblHistory]" displayFolder="" count="0" memberValueDatatype="130" unbalanced="0"/>
    <cacheHierarchy uniqueName="[tblHistory].[Date (Quarter)]" caption="Date (Quarter)" attribute="1" defaultMemberUniqueName="[tblHistory].[Date (Quarter)].[All]" allUniqueName="[tblHistory].[Date (Quarter)].[All]" dimensionUniqueName="[tblHistory]" displayFolder="" count="0" memberValueDatatype="130" unbalanced="0"/>
    <cacheHierarchy uniqueName="[tblHistory].[Date (Month)]" caption="Date (Month)" attribute="1" defaultMemberUniqueName="[tblHistory].[Date (Month)].[All]" allUniqueName="[tblHistory].[Date (Month)].[All]" dimensionUniqueName="[tblHistory]" displayFolder="" count="0" memberValueDatatype="130" unbalanced="0"/>
    <cacheHierarchy uniqueName="[tblHistory].[Date (Month Index)]" caption="Date (Month Index)" attribute="1" defaultMemberUniqueName="[tblHistory].[Date (Month Index)].[All]" allUniqueName="[tblHistory].[Date (Month Index)].[All]" dimensionUniqueName="[tblHistory]" displayFolder="" count="0" memberValueDatatype="20" unbalanced="0" hidden="1"/>
    <cacheHierarchy uniqueName="[Measures].[Sum of PremiumShift]" caption="Sum of PremiumShift" measure="1" displayFolder="" measureGroup="tblHistory" count="0">
      <extLst>
        <ext xmlns:x15="http://schemas.microsoft.com/office/spreadsheetml/2010/11/main" uri="{B97F6D7D-B522-45F9-BDA1-12C45D357490}">
          <x15:cacheHierarchy aggregatedColumn="15"/>
        </ext>
      </extLst>
    </cacheHierarchy>
    <cacheHierarchy uniqueName="[Measures].[Count of StaffName]" caption="Count of StaffName" measure="1" displayFolder="" measureGroup="tblHistory" count="0">
      <extLst>
        <ext xmlns:x15="http://schemas.microsoft.com/office/spreadsheetml/2010/11/main" uri="{B97F6D7D-B522-45F9-BDA1-12C45D357490}">
          <x15:cacheHierarchy aggregatedColumn="0"/>
        </ext>
      </extLst>
    </cacheHierarchy>
    <cacheHierarchy uniqueName="[Measures].[Distinct Count of StaffName]" caption="Distinct Count of StaffName" measure="1" displayFolder="" measureGroup="tblHistory" count="0">
      <extLst>
        <ext xmlns:x15="http://schemas.microsoft.com/office/spreadsheetml/2010/11/main" uri="{B97F6D7D-B522-45F9-BDA1-12C45D357490}">
          <x15:cacheHierarchy aggregatedColumn="0"/>
        </ext>
      </extLst>
    </cacheHierarchy>
    <cacheHierarchy uniqueName="[Measures].[Sum of WorkingHour]" caption="Sum of WorkingHour" measure="1" displayFolder="" measureGroup="tblHistory" count="0">
      <extLst>
        <ext xmlns:x15="http://schemas.microsoft.com/office/spreadsheetml/2010/11/main" uri="{B97F6D7D-B522-45F9-BDA1-12C45D357490}">
          <x15:cacheHierarchy aggregatedColumn="12"/>
        </ext>
      </extLst>
    </cacheHierarchy>
    <cacheHierarchy uniqueName="[Measures].[Sum of Wage]" caption="Sum of Wage" measure="1" displayFolder="" measureGroup="tblHistory" count="0">
      <extLst>
        <ext xmlns:x15="http://schemas.microsoft.com/office/spreadsheetml/2010/11/main" uri="{B97F6D7D-B522-45F9-BDA1-12C45D357490}">
          <x15:cacheHierarchy aggregatedColumn="13"/>
        </ext>
      </extLst>
    </cacheHierarchy>
    <cacheHierarchy uniqueName="[Measures].[Sum of MaxHourPerDay]" caption="Sum of MaxHourPerDay" measure="1" displayFolder="" measureGroup="tblHistory" count="0" oneField="1">
      <fieldsUsage count="1">
        <fieldUsage x="2"/>
      </fieldsUsage>
      <extLst>
        <ext xmlns:x15="http://schemas.microsoft.com/office/spreadsheetml/2010/11/main" uri="{B97F6D7D-B522-45F9-BDA1-12C45D357490}">
          <x15:cacheHierarchy aggregatedColumn="14"/>
        </ext>
      </extLst>
    </cacheHierarchy>
    <cacheHierarchy uniqueName="[Measures].[HolidayWeekendCount]" caption="HolidayWeekendCount" measure="1" displayFolder="" measureGroup="tblHistory" count="0"/>
    <cacheHierarchy uniqueName="[Measures].[AvgWagePerHour]" caption="AvgWagePerHour" measure="1" displayFolder="" measureGroup="tblHistory" count="0"/>
    <cacheHierarchy uniqueName="[Measures].[SafeHour]" caption="SafeHour" measure="1" displayFolder="" measureGroup="tblHistory" count="0" oneField="1">
      <fieldsUsage count="1">
        <fieldUsage x="3"/>
      </fieldsUsage>
    </cacheHierarchy>
    <cacheHierarchy uniqueName="[Measures].[OvertimedHour]" caption="OvertimedHour" measure="1" displayFolder="" measureGroup="tblHistory" count="0" oneField="1">
      <fieldsUsage count="1">
        <fieldUsage x="4"/>
      </fieldsUsage>
    </cacheHierarchy>
    <cacheHierarchy uniqueName="[Measures].[WorkloadPercentSafe]" caption="WorkloadPercentSafe" measure="1" displayFolder="" measureGroup="tblHistory" count="0"/>
    <cacheHierarchy uniqueName="[Measures].[WorkloadPercentOvertimed]" caption="WorkloadPercentOvertimed" measure="1" displayFolder="" measureGroup="tblHistory" count="0"/>
    <cacheHierarchy uniqueName="[Measures].[PremShiftBelow75]" caption="PremShiftBelow75" measure="1" displayFolder="" measureGroup="tblHistory" count="0"/>
    <cacheHierarchy uniqueName="[Measures].[PremShiftOver75]" caption="PremShiftOver75" measure="1" displayFolder="" measureGroup="tblHistory" count="0"/>
    <cacheHierarchy uniqueName="[Measures].[__XL_Count tblHistory]" caption="__XL_Count tblHistory" measure="1" displayFolder="" measureGroup="tblHistory" count="0" hidden="1"/>
    <cacheHierarchy uniqueName="[Measures].[__No measures defined]" caption="__No measures defined" measure="1" displayFolder="" count="0" hidden="1"/>
  </cacheHierarchies>
  <kpis count="0"/>
  <dimensions count="2">
    <dimension measure="1" name="Measures" uniqueName="[Measures]" caption="Measures"/>
    <dimension name="tblHistory" uniqueName="[tblHistory]" caption="tblHistory"/>
  </dimensions>
  <measureGroups count="1">
    <measureGroup name="tblHistory" caption="tblHistory"/>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FunWithExcel" refreshedDate="46139.483702546298" backgroundQuery="1" createdVersion="7" refreshedVersion="7" minRefreshableVersion="3" recordCount="0" supportSubquery="1" supportAdvancedDrill="1" xr:uid="{692A155B-D155-4B26-860E-7D506147EFA1}">
  <cacheSource type="external" connectionId="2"/>
  <cacheFields count="5">
    <cacheField name="[tblHistory].[RoleCategory].[RoleCategory]" caption="RoleCategory" numFmtId="0" hierarchy="2" level="1">
      <sharedItems count="3">
        <s v="Chef"/>
        <s v="Manager"/>
        <s v="Server"/>
      </sharedItems>
      <extLst>
        <ext xmlns:x15="http://schemas.microsoft.com/office/spreadsheetml/2010/11/main" uri="{4F2E5C28-24EA-4eb8-9CBF-B6C8F9C3D259}">
          <x15:cachedUniqueNames>
            <x15:cachedUniqueName index="0" name="[tblHistory].[RoleCategory].&amp;[Chef]"/>
            <x15:cachedUniqueName index="1" name="[tblHistory].[RoleCategory].&amp;[Manager]"/>
            <x15:cachedUniqueName index="2" name="[tblHistory].[RoleCategory].&amp;[Server]"/>
          </x15:cachedUniqueNames>
        </ext>
      </extLst>
    </cacheField>
    <cacheField name="[tblHistory].[StaffName].[StaffName]" caption="StaffName" numFmtId="0" level="1">
      <sharedItems count="13">
        <s v="Glenn Silver"/>
        <s v="Jenna Gold"/>
        <s v="Max Titanium"/>
        <s v="Oliver East"/>
        <s v="David South"/>
        <s v="Jonh West"/>
        <s v="Will North"/>
        <s v="Aaliyah Khan"/>
        <s v="Elena Rodriguez"/>
        <s v="Julian Chen"/>
        <s v="Leo Moretti"/>
        <s v="Marcus Thompson"/>
        <s v="Sarah Jenkins"/>
      </sharedItems>
      <extLst>
        <ext xmlns:x15="http://schemas.microsoft.com/office/spreadsheetml/2010/11/main" uri="{4F2E5C28-24EA-4eb8-9CBF-B6C8F9C3D259}">
          <x15:cachedUniqueNames>
            <x15:cachedUniqueName index="0" name="[tblHistory].[StaffName].&amp;[Glenn Silver]"/>
            <x15:cachedUniqueName index="1" name="[tblHistory].[StaffName].&amp;[Jenna Gold]"/>
            <x15:cachedUniqueName index="2" name="[tblHistory].[StaffName].&amp;[Max Titanium]"/>
            <x15:cachedUniqueName index="3" name="[tblHistory].[StaffName].&amp;[Oliver East]"/>
            <x15:cachedUniqueName index="4" name="[tblHistory].[StaffName].&amp;[David South]"/>
            <x15:cachedUniqueName index="5" name="[tblHistory].[StaffName].&amp;[Jonh West]"/>
            <x15:cachedUniqueName index="6" name="[tblHistory].[StaffName].&amp;[Will North]"/>
            <x15:cachedUniqueName index="7" name="[tblHistory].[StaffName].&amp;[Aaliyah Khan]"/>
            <x15:cachedUniqueName index="8" name="[tblHistory].[StaffName].&amp;[Elena Rodriguez]"/>
            <x15:cachedUniqueName index="9" name="[tblHistory].[StaffName].&amp;[Julian Chen]"/>
            <x15:cachedUniqueName index="10" name="[tblHistory].[StaffName].&amp;[Leo Moretti]"/>
            <x15:cachedUniqueName index="11" name="[tblHistory].[StaffName].&amp;[Marcus Thompson]"/>
            <x15:cachedUniqueName index="12" name="[tblHistory].[StaffName].&amp;[Sarah Jenkins]"/>
          </x15:cachedUniqueNames>
        </ext>
      </extLst>
    </cacheField>
    <cacheField name="[Measures].[HolidayWeekendCount]" caption="HolidayWeekendCount" numFmtId="0" hierarchy="26" level="32767"/>
    <cacheField name="[Measures].[PremShiftBelow75]" caption="PremShiftBelow75" numFmtId="0" hierarchy="32" level="32767"/>
    <cacheField name="[Measures].[PremShiftOver75]" caption="PremShiftOver75" numFmtId="0" hierarchy="33" level="32767"/>
  </cacheFields>
  <cacheHierarchies count="36">
    <cacheHierarchy uniqueName="[tblHistory].[StaffName]" caption="StaffName" attribute="1" defaultMemberUniqueName="[tblHistory].[StaffName].[All]" allUniqueName="[tblHistory].[StaffName].[All]" dimensionUniqueName="[tblHistory]" displayFolder="" count="2" memberValueDatatype="130" unbalanced="0">
      <fieldsUsage count="2">
        <fieldUsage x="-1"/>
        <fieldUsage x="1"/>
      </fieldsUsage>
    </cacheHierarchy>
    <cacheHierarchy uniqueName="[tblHistory].[Role]" caption="Role" attribute="1" defaultMemberUniqueName="[tblHistory].[Role].[All]" allUniqueName="[tblHistory].[Role].[All]" dimensionUniqueName="[tblHistory]" displayFolder="" count="0" memberValueDatatype="130" unbalanced="0"/>
    <cacheHierarchy uniqueName="[tblHistory].[RoleCategory]" caption="RoleCategory" attribute="1" defaultMemberUniqueName="[tblHistory].[RoleCategory].[All]" allUniqueName="[tblHistory].[RoleCategory].[All]" dimensionUniqueName="[tblHistory]" displayFolder="" count="2" memberValueDatatype="130" unbalanced="0">
      <fieldsUsage count="2">
        <fieldUsage x="-1"/>
        <fieldUsage x="0"/>
      </fieldsUsage>
    </cacheHierarchy>
    <cacheHierarchy uniqueName="[tblHistory].[FullPart]" caption="FullPart" attribute="1" defaultMemberUniqueName="[tblHistory].[FullPart].[All]" allUniqueName="[tblHistory].[FullPart].[All]" dimensionUniqueName="[tblHistory]" displayFolder="" count="2" memberValueDatatype="130" unbalanced="0"/>
    <cacheHierarchy uniqueName="[tblHistory].[HourlyRate]" caption="HourlyRate" attribute="1" defaultMemberUniqueName="[tblHistory].[HourlyRate].[All]" allUniqueName="[tblHistory].[HourlyRate].[All]" dimensionUniqueName="[tblHistory]" displayFolder="" count="0" memberValueDatatype="20" unbalanced="0"/>
    <cacheHierarchy uniqueName="[tblHistory].[MaxHour]" caption="MaxHour" attribute="1" defaultMemberUniqueName="[tblHistory].[MaxHour].[All]" allUniqueName="[tblHistory].[MaxHour].[All]" dimensionUniqueName="[tblHistory]" displayFolder="" count="0" memberValueDatatype="20" unbalanced="0"/>
    <cacheHierarchy uniqueName="[tblHistory].[WeekDay]" caption="WeekDay" attribute="1" defaultMemberUniqueName="[tblHistory].[WeekDay].[All]" allUniqueName="[tblHistory].[WeekDay].[All]" dimensionUniqueName="[tblHistory]" displayFolder="" count="0" memberValueDatatype="130" unbalanced="0"/>
    <cacheHierarchy uniqueName="[tblHistory].[ShiftCode]" caption="ShiftCode" attribute="1" defaultMemberUniqueName="[tblHistory].[ShiftCode].[All]" allUniqueName="[tblHistory].[ShiftCode].[All]" dimensionUniqueName="[tblHistory]" displayFolder="" count="0" memberValueDatatype="130" unbalanced="0"/>
    <cacheHierarchy uniqueName="[tblHistory].[Date]" caption="Date" attribute="1" time="1" defaultMemberUniqueName="[tblHistory].[Date].[All]" allUniqueName="[tblHistory].[Date].[All]" dimensionUniqueName="[tblHistory]" displayFolder="" count="2" memberValueDatatype="7" unbalanced="0"/>
    <cacheHierarchy uniqueName="[tblHistory].[IsWeekend]" caption="IsWeekend" attribute="1" defaultMemberUniqueName="[tblHistory].[IsWeekend].[All]" allUniqueName="[tblHistory].[IsWeekend].[All]" dimensionUniqueName="[tblHistory]" displayFolder="" count="0" memberValueDatatype="130" unbalanced="0"/>
    <cacheHierarchy uniqueName="[tblHistory].[IsHoliday]" caption="IsHoliday" attribute="1" defaultMemberUniqueName="[tblHistory].[IsHoliday].[All]" allUniqueName="[tblHistory].[IsHoliday].[All]" dimensionUniqueName="[tblHistory]" displayFolder="" count="0" memberValueDatatype="130" unbalanced="0"/>
    <cacheHierarchy uniqueName="[tblHistory].[HolidayOrWeekend]" caption="HolidayOrWeekend" attribute="1" defaultMemberUniqueName="[tblHistory].[HolidayOrWeekend].[All]" allUniqueName="[tblHistory].[HolidayOrWeekend].[All]" dimensionUniqueName="[tblHistory]" displayFolder="" count="0" memberValueDatatype="130" unbalanced="0"/>
    <cacheHierarchy uniqueName="[tblHistory].[WorkingHour]" caption="WorkingHour" attribute="1" defaultMemberUniqueName="[tblHistory].[WorkingHour].[All]" allUniqueName="[tblHistory].[WorkingHour].[All]" dimensionUniqueName="[tblHistory]" displayFolder="" count="0" memberValueDatatype="5" unbalanced="0"/>
    <cacheHierarchy uniqueName="[tblHistory].[Wage]" caption="Wage" attribute="1" defaultMemberUniqueName="[tblHistory].[Wage].[All]" allUniqueName="[tblHistory].[Wage].[All]" dimensionUniqueName="[tblHistory]" displayFolder="" count="0" memberValueDatatype="5" unbalanced="0"/>
    <cacheHierarchy uniqueName="[tblHistory].[MaxHourPerDay]" caption="MaxHourPerDay" attribute="1" defaultMemberUniqueName="[tblHistory].[MaxHourPerDay].[All]" allUniqueName="[tblHistory].[MaxHourPerDay].[All]" dimensionUniqueName="[tblHistory]" displayFolder="" count="0" memberValueDatatype="5" unbalanced="0"/>
    <cacheHierarchy uniqueName="[tblHistory].[PremiumShift]" caption="PremiumShift" attribute="1" defaultMemberUniqueName="[tblHistory].[PremiumShift].[All]" allUniqueName="[tblHistory].[PremiumShift].[All]" dimensionUniqueName="[tblHistory]" displayFolder="" count="0" memberValueDatatype="20" unbalanced="0"/>
    <cacheHierarchy uniqueName="[tblHistory].[Date (Year)]" caption="Date (Year)" attribute="1" defaultMemberUniqueName="[tblHistory].[Date (Year)].[All]" allUniqueName="[tblHistory].[Date (Year)].[All]" dimensionUniqueName="[tblHistory]" displayFolder="" count="0" memberValueDatatype="130" unbalanced="0"/>
    <cacheHierarchy uniqueName="[tblHistory].[Date (Quarter)]" caption="Date (Quarter)" attribute="1" defaultMemberUniqueName="[tblHistory].[Date (Quarter)].[All]" allUniqueName="[tblHistory].[Date (Quarter)].[All]" dimensionUniqueName="[tblHistory]" displayFolder="" count="0" memberValueDatatype="130" unbalanced="0"/>
    <cacheHierarchy uniqueName="[tblHistory].[Date (Month)]" caption="Date (Month)" attribute="1" defaultMemberUniqueName="[tblHistory].[Date (Month)].[All]" allUniqueName="[tblHistory].[Date (Month)].[All]" dimensionUniqueName="[tblHistory]" displayFolder="" count="0" memberValueDatatype="130" unbalanced="0"/>
    <cacheHierarchy uniqueName="[tblHistory].[Date (Month Index)]" caption="Date (Month Index)" attribute="1" defaultMemberUniqueName="[tblHistory].[Date (Month Index)].[All]" allUniqueName="[tblHistory].[Date (Month Index)].[All]" dimensionUniqueName="[tblHistory]" displayFolder="" count="0" memberValueDatatype="20" unbalanced="0" hidden="1"/>
    <cacheHierarchy uniqueName="[Measures].[Sum of PremiumShift]" caption="Sum of PremiumShift" measure="1" displayFolder="" measureGroup="tblHistory" count="0">
      <extLst>
        <ext xmlns:x15="http://schemas.microsoft.com/office/spreadsheetml/2010/11/main" uri="{B97F6D7D-B522-45F9-BDA1-12C45D357490}">
          <x15:cacheHierarchy aggregatedColumn="15"/>
        </ext>
      </extLst>
    </cacheHierarchy>
    <cacheHierarchy uniqueName="[Measures].[Count of StaffName]" caption="Count of StaffName" measure="1" displayFolder="" measureGroup="tblHistory" count="0">
      <extLst>
        <ext xmlns:x15="http://schemas.microsoft.com/office/spreadsheetml/2010/11/main" uri="{B97F6D7D-B522-45F9-BDA1-12C45D357490}">
          <x15:cacheHierarchy aggregatedColumn="0"/>
        </ext>
      </extLst>
    </cacheHierarchy>
    <cacheHierarchy uniqueName="[Measures].[Distinct Count of StaffName]" caption="Distinct Count of StaffName" measure="1" displayFolder="" measureGroup="tblHistory" count="0">
      <extLst>
        <ext xmlns:x15="http://schemas.microsoft.com/office/spreadsheetml/2010/11/main" uri="{B97F6D7D-B522-45F9-BDA1-12C45D357490}">
          <x15:cacheHierarchy aggregatedColumn="0"/>
        </ext>
      </extLst>
    </cacheHierarchy>
    <cacheHierarchy uniqueName="[Measures].[Sum of WorkingHour]" caption="Sum of WorkingHour" measure="1" displayFolder="" measureGroup="tblHistory" count="0">
      <extLst>
        <ext xmlns:x15="http://schemas.microsoft.com/office/spreadsheetml/2010/11/main" uri="{B97F6D7D-B522-45F9-BDA1-12C45D357490}">
          <x15:cacheHierarchy aggregatedColumn="12"/>
        </ext>
      </extLst>
    </cacheHierarchy>
    <cacheHierarchy uniqueName="[Measures].[Sum of Wage]" caption="Sum of Wage" measure="1" displayFolder="" measureGroup="tblHistory" count="0">
      <extLst>
        <ext xmlns:x15="http://schemas.microsoft.com/office/spreadsheetml/2010/11/main" uri="{B97F6D7D-B522-45F9-BDA1-12C45D357490}">
          <x15:cacheHierarchy aggregatedColumn="13"/>
        </ext>
      </extLst>
    </cacheHierarchy>
    <cacheHierarchy uniqueName="[Measures].[Sum of MaxHourPerDay]" caption="Sum of MaxHourPerDay" measure="1" displayFolder="" measureGroup="tblHistory" count="0">
      <extLst>
        <ext xmlns:x15="http://schemas.microsoft.com/office/spreadsheetml/2010/11/main" uri="{B97F6D7D-B522-45F9-BDA1-12C45D357490}">
          <x15:cacheHierarchy aggregatedColumn="14"/>
        </ext>
      </extLst>
    </cacheHierarchy>
    <cacheHierarchy uniqueName="[Measures].[HolidayWeekendCount]" caption="HolidayWeekendCount" measure="1" displayFolder="" measureGroup="tblHistory" count="0" oneField="1">
      <fieldsUsage count="1">
        <fieldUsage x="2"/>
      </fieldsUsage>
    </cacheHierarchy>
    <cacheHierarchy uniqueName="[Measures].[AvgWagePerHour]" caption="AvgWagePerHour" measure="1" displayFolder="" measureGroup="tblHistory" count="0"/>
    <cacheHierarchy uniqueName="[Measures].[SafeHour]" caption="SafeHour" measure="1" displayFolder="" measureGroup="tblHistory" count="0"/>
    <cacheHierarchy uniqueName="[Measures].[OvertimedHour]" caption="OvertimedHour" measure="1" displayFolder="" measureGroup="tblHistory" count="0"/>
    <cacheHierarchy uniqueName="[Measures].[WorkloadPercentSafe]" caption="WorkloadPercentSafe" measure="1" displayFolder="" measureGroup="tblHistory" count="0"/>
    <cacheHierarchy uniqueName="[Measures].[WorkloadPercentOvertimed]" caption="WorkloadPercentOvertimed" measure="1" displayFolder="" measureGroup="tblHistory" count="0"/>
    <cacheHierarchy uniqueName="[Measures].[PremShiftBelow75]" caption="PremShiftBelow75" measure="1" displayFolder="" measureGroup="tblHistory" count="0" oneField="1">
      <fieldsUsage count="1">
        <fieldUsage x="3"/>
      </fieldsUsage>
    </cacheHierarchy>
    <cacheHierarchy uniqueName="[Measures].[PremShiftOver75]" caption="PremShiftOver75" measure="1" displayFolder="" measureGroup="tblHistory" count="0" oneField="1">
      <fieldsUsage count="1">
        <fieldUsage x="4"/>
      </fieldsUsage>
    </cacheHierarchy>
    <cacheHierarchy uniqueName="[Measures].[__XL_Count tblHistory]" caption="__XL_Count tblHistory" measure="1" displayFolder="" measureGroup="tblHistory" count="0" hidden="1"/>
    <cacheHierarchy uniqueName="[Measures].[__No measures defined]" caption="__No measures defined" measure="1" displayFolder="" count="0" hidden="1"/>
  </cacheHierarchies>
  <kpis count="0"/>
  <dimensions count="2">
    <dimension measure="1" name="Measures" uniqueName="[Measures]" caption="Measures"/>
    <dimension name="tblHistory" uniqueName="[tblHistory]" caption="tblHistory"/>
  </dimensions>
  <measureGroups count="1">
    <measureGroup name="tblHistory" caption="tblHistory"/>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FunWithExcel" refreshedDate="46139.483702777776" backgroundQuery="1" createdVersion="7" refreshedVersion="7" minRefreshableVersion="3" recordCount="0" supportSubquery="1" supportAdvancedDrill="1" xr:uid="{E8496515-5C6C-4188-B580-77F7272849F4}">
  <cacheSource type="external" connectionId="2"/>
  <cacheFields count="4">
    <cacheField name="[tblHistory].[WeekDay].[WeekDay]" caption="WeekDay" numFmtId="0" hierarchy="6" level="1">
      <sharedItems count="7">
        <s v="Fri"/>
        <s v="Mon"/>
        <s v="Sat"/>
        <s v="Sun"/>
        <s v="Thu"/>
        <s v="Tue"/>
        <s v="Wed"/>
      </sharedItems>
    </cacheField>
    <cacheField name="[tblHistory].[RoleCategory].[RoleCategory]" caption="RoleCategory" numFmtId="0" hierarchy="2" level="1">
      <sharedItems count="3">
        <s v="Chef"/>
        <s v="Manager"/>
        <s v="Server"/>
      </sharedItems>
      <extLst>
        <ext xmlns:x15="http://schemas.microsoft.com/office/spreadsheetml/2010/11/main" uri="{4F2E5C28-24EA-4eb8-9CBF-B6C8F9C3D259}">
          <x15:cachedUniqueNames>
            <x15:cachedUniqueName index="0" name="[tblHistory].[RoleCategory].&amp;[Chef]"/>
            <x15:cachedUniqueName index="1" name="[tblHistory].[RoleCategory].&amp;[Manager]"/>
            <x15:cachedUniqueName index="2" name="[tblHistory].[RoleCategory].&amp;[Server]"/>
          </x15:cachedUniqueNames>
        </ext>
      </extLst>
    </cacheField>
    <cacheField name="[Measures].[Sum of Wage]" caption="Sum of Wage" numFmtId="0" hierarchy="24" level="32767"/>
    <cacheField name="[Measures].[Distinct Count of StaffName]" caption="Distinct Count of StaffName" numFmtId="0" hierarchy="22" level="32767"/>
  </cacheFields>
  <cacheHierarchies count="36">
    <cacheHierarchy uniqueName="[tblHistory].[StaffName]" caption="StaffName" attribute="1" defaultMemberUniqueName="[tblHistory].[StaffName].[All]" allUniqueName="[tblHistory].[StaffName].[All]" dimensionUniqueName="[tblHistory]" displayFolder="" count="2" memberValueDatatype="130" unbalanced="0"/>
    <cacheHierarchy uniqueName="[tblHistory].[Role]" caption="Role" attribute="1" defaultMemberUniqueName="[tblHistory].[Role].[All]" allUniqueName="[tblHistory].[Role].[All]" dimensionUniqueName="[tblHistory]" displayFolder="" count="0" memberValueDatatype="130" unbalanced="0"/>
    <cacheHierarchy uniqueName="[tblHistory].[RoleCategory]" caption="RoleCategory" attribute="1" defaultMemberUniqueName="[tblHistory].[RoleCategory].[All]" allUniqueName="[tblHistory].[RoleCategory].[All]" dimensionUniqueName="[tblHistory]" displayFolder="" count="2" memberValueDatatype="130" unbalanced="0">
      <fieldsUsage count="2">
        <fieldUsage x="-1"/>
        <fieldUsage x="1"/>
      </fieldsUsage>
    </cacheHierarchy>
    <cacheHierarchy uniqueName="[tblHistory].[FullPart]" caption="FullPart" attribute="1" defaultMemberUniqueName="[tblHistory].[FullPart].[All]" allUniqueName="[tblHistory].[FullPart].[All]" dimensionUniqueName="[tblHistory]" displayFolder="" count="2" memberValueDatatype="130" unbalanced="0"/>
    <cacheHierarchy uniqueName="[tblHistory].[HourlyRate]" caption="HourlyRate" attribute="1" defaultMemberUniqueName="[tblHistory].[HourlyRate].[All]" allUniqueName="[tblHistory].[HourlyRate].[All]" dimensionUniqueName="[tblHistory]" displayFolder="" count="0" memberValueDatatype="20" unbalanced="0"/>
    <cacheHierarchy uniqueName="[tblHistory].[MaxHour]" caption="MaxHour" attribute="1" defaultMemberUniqueName="[tblHistory].[MaxHour].[All]" allUniqueName="[tblHistory].[MaxHour].[All]" dimensionUniqueName="[tblHistory]" displayFolder="" count="0" memberValueDatatype="20" unbalanced="0"/>
    <cacheHierarchy uniqueName="[tblHistory].[WeekDay]" caption="WeekDay" attribute="1" defaultMemberUniqueName="[tblHistory].[WeekDay].[All]" allUniqueName="[tblHistory].[WeekDay].[All]" dimensionUniqueName="[tblHistory]" displayFolder="" count="2" memberValueDatatype="130" unbalanced="0">
      <fieldsUsage count="2">
        <fieldUsage x="-1"/>
        <fieldUsage x="0"/>
      </fieldsUsage>
    </cacheHierarchy>
    <cacheHierarchy uniqueName="[tblHistory].[ShiftCode]" caption="ShiftCode" attribute="1" defaultMemberUniqueName="[tblHistory].[ShiftCode].[All]" allUniqueName="[tblHistory].[ShiftCode].[All]" dimensionUniqueName="[tblHistory]" displayFolder="" count="0" memberValueDatatype="130" unbalanced="0"/>
    <cacheHierarchy uniqueName="[tblHistory].[Date]" caption="Date" attribute="1" time="1" defaultMemberUniqueName="[tblHistory].[Date].[All]" allUniqueName="[tblHistory].[Date].[All]" dimensionUniqueName="[tblHistory]" displayFolder="" count="2" memberValueDatatype="7" unbalanced="0"/>
    <cacheHierarchy uniqueName="[tblHistory].[IsWeekend]" caption="IsWeekend" attribute="1" defaultMemberUniqueName="[tblHistory].[IsWeekend].[All]" allUniqueName="[tblHistory].[IsWeekend].[All]" dimensionUniqueName="[tblHistory]" displayFolder="" count="0" memberValueDatatype="130" unbalanced="0"/>
    <cacheHierarchy uniqueName="[tblHistory].[IsHoliday]" caption="IsHoliday" attribute="1" defaultMemberUniqueName="[tblHistory].[IsHoliday].[All]" allUniqueName="[tblHistory].[IsHoliday].[All]" dimensionUniqueName="[tblHistory]" displayFolder="" count="0" memberValueDatatype="130" unbalanced="0"/>
    <cacheHierarchy uniqueName="[tblHistory].[HolidayOrWeekend]" caption="HolidayOrWeekend" attribute="1" defaultMemberUniqueName="[tblHistory].[HolidayOrWeekend].[All]" allUniqueName="[tblHistory].[HolidayOrWeekend].[All]" dimensionUniqueName="[tblHistory]" displayFolder="" count="0" memberValueDatatype="130" unbalanced="0"/>
    <cacheHierarchy uniqueName="[tblHistory].[WorkingHour]" caption="WorkingHour" attribute="1" defaultMemberUniqueName="[tblHistory].[WorkingHour].[All]" allUniqueName="[tblHistory].[WorkingHour].[All]" dimensionUniqueName="[tblHistory]" displayFolder="" count="0" memberValueDatatype="5" unbalanced="0"/>
    <cacheHierarchy uniqueName="[tblHistory].[Wage]" caption="Wage" attribute="1" defaultMemberUniqueName="[tblHistory].[Wage].[All]" allUniqueName="[tblHistory].[Wage].[All]" dimensionUniqueName="[tblHistory]" displayFolder="" count="0" memberValueDatatype="5" unbalanced="0"/>
    <cacheHierarchy uniqueName="[tblHistory].[MaxHourPerDay]" caption="MaxHourPerDay" attribute="1" defaultMemberUniqueName="[tblHistory].[MaxHourPerDay].[All]" allUniqueName="[tblHistory].[MaxHourPerDay].[All]" dimensionUniqueName="[tblHistory]" displayFolder="" count="0" memberValueDatatype="5" unbalanced="0"/>
    <cacheHierarchy uniqueName="[tblHistory].[PremiumShift]" caption="PremiumShift" attribute="1" defaultMemberUniqueName="[tblHistory].[PremiumShift].[All]" allUniqueName="[tblHistory].[PremiumShift].[All]" dimensionUniqueName="[tblHistory]" displayFolder="" count="0" memberValueDatatype="20" unbalanced="0"/>
    <cacheHierarchy uniqueName="[tblHistory].[Date (Year)]" caption="Date (Year)" attribute="1" defaultMemberUniqueName="[tblHistory].[Date (Year)].[All]" allUniqueName="[tblHistory].[Date (Year)].[All]" dimensionUniqueName="[tblHistory]" displayFolder="" count="0" memberValueDatatype="130" unbalanced="0"/>
    <cacheHierarchy uniqueName="[tblHistory].[Date (Quarter)]" caption="Date (Quarter)" attribute="1" defaultMemberUniqueName="[tblHistory].[Date (Quarter)].[All]" allUniqueName="[tblHistory].[Date (Quarter)].[All]" dimensionUniqueName="[tblHistory]" displayFolder="" count="0" memberValueDatatype="130" unbalanced="0"/>
    <cacheHierarchy uniqueName="[tblHistory].[Date (Month)]" caption="Date (Month)" attribute="1" defaultMemberUniqueName="[tblHistory].[Date (Month)].[All]" allUniqueName="[tblHistory].[Date (Month)].[All]" dimensionUniqueName="[tblHistory]" displayFolder="" count="0" memberValueDatatype="130" unbalanced="0"/>
    <cacheHierarchy uniqueName="[tblHistory].[Date (Month Index)]" caption="Date (Month Index)" attribute="1" defaultMemberUniqueName="[tblHistory].[Date (Month Index)].[All]" allUniqueName="[tblHistory].[Date (Month Index)].[All]" dimensionUniqueName="[tblHistory]" displayFolder="" count="0" memberValueDatatype="20" unbalanced="0" hidden="1"/>
    <cacheHierarchy uniqueName="[Measures].[Sum of PremiumShift]" caption="Sum of PremiumShift" measure="1" displayFolder="" measureGroup="tblHistory" count="0">
      <extLst>
        <ext xmlns:x15="http://schemas.microsoft.com/office/spreadsheetml/2010/11/main" uri="{B97F6D7D-B522-45F9-BDA1-12C45D357490}">
          <x15:cacheHierarchy aggregatedColumn="15"/>
        </ext>
      </extLst>
    </cacheHierarchy>
    <cacheHierarchy uniqueName="[Measures].[Count of StaffName]" caption="Count of StaffName" measure="1" displayFolder="" measureGroup="tblHistory" count="0">
      <extLst>
        <ext xmlns:x15="http://schemas.microsoft.com/office/spreadsheetml/2010/11/main" uri="{B97F6D7D-B522-45F9-BDA1-12C45D357490}">
          <x15:cacheHierarchy aggregatedColumn="0"/>
        </ext>
      </extLst>
    </cacheHierarchy>
    <cacheHierarchy uniqueName="[Measures].[Distinct Count of StaffName]" caption="Distinct Count of StaffName" measure="1" displayFolder="" measureGroup="tblHistory" count="0" oneField="1">
      <fieldsUsage count="1">
        <fieldUsage x="3"/>
      </fieldsUsage>
      <extLst>
        <ext xmlns:x15="http://schemas.microsoft.com/office/spreadsheetml/2010/11/main" uri="{B97F6D7D-B522-45F9-BDA1-12C45D357490}">
          <x15:cacheHierarchy aggregatedColumn="0"/>
        </ext>
      </extLst>
    </cacheHierarchy>
    <cacheHierarchy uniqueName="[Measures].[Sum of WorkingHour]" caption="Sum of WorkingHour" measure="1" displayFolder="" measureGroup="tblHistory" count="0">
      <extLst>
        <ext xmlns:x15="http://schemas.microsoft.com/office/spreadsheetml/2010/11/main" uri="{B97F6D7D-B522-45F9-BDA1-12C45D357490}">
          <x15:cacheHierarchy aggregatedColumn="12"/>
        </ext>
      </extLst>
    </cacheHierarchy>
    <cacheHierarchy uniqueName="[Measures].[Sum of Wage]" caption="Sum of Wage" measure="1" displayFolder="" measureGroup="tblHistory" count="0" oneField="1">
      <fieldsUsage count="1">
        <fieldUsage x="2"/>
      </fieldsUsage>
      <extLst>
        <ext xmlns:x15="http://schemas.microsoft.com/office/spreadsheetml/2010/11/main" uri="{B97F6D7D-B522-45F9-BDA1-12C45D357490}">
          <x15:cacheHierarchy aggregatedColumn="13"/>
        </ext>
      </extLst>
    </cacheHierarchy>
    <cacheHierarchy uniqueName="[Measures].[Sum of MaxHourPerDay]" caption="Sum of MaxHourPerDay" measure="1" displayFolder="" measureGroup="tblHistory" count="0">
      <extLst>
        <ext xmlns:x15="http://schemas.microsoft.com/office/spreadsheetml/2010/11/main" uri="{B97F6D7D-B522-45F9-BDA1-12C45D357490}">
          <x15:cacheHierarchy aggregatedColumn="14"/>
        </ext>
      </extLst>
    </cacheHierarchy>
    <cacheHierarchy uniqueName="[Measures].[HolidayWeekendCount]" caption="HolidayWeekendCount" measure="1" displayFolder="" measureGroup="tblHistory" count="0"/>
    <cacheHierarchy uniqueName="[Measures].[AvgWagePerHour]" caption="AvgWagePerHour" measure="1" displayFolder="" measureGroup="tblHistory" count="0"/>
    <cacheHierarchy uniqueName="[Measures].[SafeHour]" caption="SafeHour" measure="1" displayFolder="" measureGroup="tblHistory" count="0"/>
    <cacheHierarchy uniqueName="[Measures].[OvertimedHour]" caption="OvertimedHour" measure="1" displayFolder="" measureGroup="tblHistory" count="0"/>
    <cacheHierarchy uniqueName="[Measures].[WorkloadPercentSafe]" caption="WorkloadPercentSafe" measure="1" displayFolder="" measureGroup="tblHistory" count="0"/>
    <cacheHierarchy uniqueName="[Measures].[WorkloadPercentOvertimed]" caption="WorkloadPercentOvertimed" measure="1" displayFolder="" measureGroup="tblHistory" count="0"/>
    <cacheHierarchy uniqueName="[Measures].[PremShiftBelow75]" caption="PremShiftBelow75" measure="1" displayFolder="" measureGroup="tblHistory" count="0"/>
    <cacheHierarchy uniqueName="[Measures].[PremShiftOver75]" caption="PremShiftOver75" measure="1" displayFolder="" measureGroup="tblHistory" count="0"/>
    <cacheHierarchy uniqueName="[Measures].[__XL_Count tblHistory]" caption="__XL_Count tblHistory" measure="1" displayFolder="" measureGroup="tblHistory" count="0" hidden="1"/>
    <cacheHierarchy uniqueName="[Measures].[__No measures defined]" caption="__No measures defined" measure="1" displayFolder="" count="0" hidden="1"/>
  </cacheHierarchies>
  <kpis count="0"/>
  <dimensions count="2">
    <dimension measure="1" name="Measures" uniqueName="[Measures]" caption="Measures"/>
    <dimension name="tblHistory" uniqueName="[tblHistory]" caption="tblHistory"/>
  </dimensions>
  <measureGroups count="1">
    <measureGroup name="tblHistory" caption="tblHistory"/>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FunWithExcel" refreshedDate="46139.483703240738" backgroundQuery="1" createdVersion="7" refreshedVersion="7" minRefreshableVersion="3" recordCount="0" supportSubquery="1" supportAdvancedDrill="1" xr:uid="{0FA5076B-19AA-48D3-A4C8-5A5B2A5C6C8F}">
  <cacheSource type="external" connectionId="2"/>
  <cacheFields count="4">
    <cacheField name="[tblHistory].[Date (Month)].[Date (Month)]" caption="Date (Month)" numFmtId="0" hierarchy="18" level="1">
      <sharedItems count="5">
        <s v="Jan"/>
        <s v="Feb"/>
        <s v="Mar"/>
        <s v="Apr"/>
        <s v="Dec"/>
      </sharedItems>
      <extLst>
        <ext xmlns:x15="http://schemas.microsoft.com/office/spreadsheetml/2010/11/main" uri="{4F2E5C28-24EA-4eb8-9CBF-B6C8F9C3D259}">
          <x15:cachedUniqueNames>
            <x15:cachedUniqueName index="0" name="[tblHistory].[Date (Month)].&amp;[Jan]"/>
            <x15:cachedUniqueName index="1" name="[tblHistory].[Date (Month)].&amp;[Feb]"/>
            <x15:cachedUniqueName index="2" name="[tblHistory].[Date (Month)].&amp;[Mar]"/>
            <x15:cachedUniqueName index="3" name="[tblHistory].[Date (Month)].&amp;[Apr]"/>
            <x15:cachedUniqueName index="4" name="[tblHistory].[Date (Month)].&amp;[Dec]"/>
          </x15:cachedUniqueNames>
        </ext>
      </extLst>
    </cacheField>
    <cacheField name="[tblHistory].[Date].[Date]" caption="Date" numFmtId="0" hierarchy="8" level="1">
      <sharedItems containsSemiMixedTypes="0" containsNonDate="0" containsDate="1" containsString="0" minDate="2025-12-29T00:00:00" maxDate="2026-04-06T00:00:00" count="98">
        <d v="2025-12-29T00:00:00"/>
        <d v="2025-12-30T00:00:00"/>
        <d v="2025-12-31T00:00:00"/>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0T00:00:00"/>
        <d v="2026-02-21T00:00:00"/>
        <d v="2026-02-22T00:00:00"/>
        <d v="2026-02-23T00:00:00"/>
        <d v="2026-02-24T00:00:00"/>
        <d v="2026-02-25T00:00:00"/>
        <d v="2026-02-26T00:00:00"/>
        <d v="2026-02-27T00:00:00"/>
        <d v="2026-02-28T00:00:00"/>
        <d v="2026-03-01T00:00:00"/>
        <d v="2026-03-02T00:00:00"/>
        <d v="2026-03-03T00:00:00"/>
        <d v="2026-03-04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4T00:00:00"/>
        <d v="2026-03-25T00:00:00"/>
        <d v="2026-03-26T00:00:00"/>
        <d v="2026-03-27T00:00:00"/>
        <d v="2026-03-28T00:00:00"/>
        <d v="2026-03-29T00:00:00"/>
        <d v="2026-03-30T00:00:00"/>
        <d v="2026-03-31T00:00:00"/>
        <d v="2026-04-01T00:00:00"/>
        <d v="2026-04-02T00:00:00"/>
        <d v="2026-04-03T00:00:00"/>
        <d v="2026-04-04T00:00:00"/>
        <d v="2026-04-05T00:00:00"/>
      </sharedItems>
      <extLst>
        <ext xmlns:x15="http://schemas.microsoft.com/office/spreadsheetml/2010/11/main" uri="{4F2E5C28-24EA-4eb8-9CBF-B6C8F9C3D259}">
          <x15:cachedUniqueNames>
            <x15:cachedUniqueName index="0" name="[tblHistory].[Date].&amp;[2025-12-29T00:00:00]"/>
            <x15:cachedUniqueName index="1" name="[tblHistory].[Date].&amp;[2025-12-30T00:00:00]"/>
            <x15:cachedUniqueName index="2" name="[tblHistory].[Date].&amp;[2025-12-31T00:00:00]"/>
            <x15:cachedUniqueName index="3" name="[tblHistory].[Date].&amp;[2026-01-01T00:00:00]"/>
            <x15:cachedUniqueName index="4" name="[tblHistory].[Date].&amp;[2026-01-02T00:00:00]"/>
            <x15:cachedUniqueName index="5" name="[tblHistory].[Date].&amp;[2026-01-03T00:00:00]"/>
            <x15:cachedUniqueName index="6" name="[tblHistory].[Date].&amp;[2026-01-04T00:00:00]"/>
            <x15:cachedUniqueName index="7" name="[tblHistory].[Date].&amp;[2026-01-05T00:00:00]"/>
            <x15:cachedUniqueName index="8" name="[tblHistory].[Date].&amp;[2026-01-06T00:00:00]"/>
            <x15:cachedUniqueName index="9" name="[tblHistory].[Date].&amp;[2026-01-07T00:00:00]"/>
            <x15:cachedUniqueName index="10" name="[tblHistory].[Date].&amp;[2026-01-08T00:00:00]"/>
            <x15:cachedUniqueName index="11" name="[tblHistory].[Date].&amp;[2026-01-09T00:00:00]"/>
            <x15:cachedUniqueName index="12" name="[tblHistory].[Date].&amp;[2026-01-10T00:00:00]"/>
            <x15:cachedUniqueName index="13" name="[tblHistory].[Date].&amp;[2026-01-11T00:00:00]"/>
            <x15:cachedUniqueName index="14" name="[tblHistory].[Date].&amp;[2026-01-12T00:00:00]"/>
            <x15:cachedUniqueName index="15" name="[tblHistory].[Date].&amp;[2026-01-13T00:00:00]"/>
            <x15:cachedUniqueName index="16" name="[tblHistory].[Date].&amp;[2026-01-14T00:00:00]"/>
            <x15:cachedUniqueName index="17" name="[tblHistory].[Date].&amp;[2026-01-15T00:00:00]"/>
            <x15:cachedUniqueName index="18" name="[tblHistory].[Date].&amp;[2026-01-16T00:00:00]"/>
            <x15:cachedUniqueName index="19" name="[tblHistory].[Date].&amp;[2026-01-17T00:00:00]"/>
            <x15:cachedUniqueName index="20" name="[tblHistory].[Date].&amp;[2026-01-18T00:00:00]"/>
            <x15:cachedUniqueName index="21" name="[tblHistory].[Date].&amp;[2026-01-19T00:00:00]"/>
            <x15:cachedUniqueName index="22" name="[tblHistory].[Date].&amp;[2026-01-20T00:00:00]"/>
            <x15:cachedUniqueName index="23" name="[tblHistory].[Date].&amp;[2026-01-21T00:00:00]"/>
            <x15:cachedUniqueName index="24" name="[tblHistory].[Date].&amp;[2026-01-22T00:00:00]"/>
            <x15:cachedUniqueName index="25" name="[tblHistory].[Date].&amp;[2026-01-23T00:00:00]"/>
            <x15:cachedUniqueName index="26" name="[tblHistory].[Date].&amp;[2026-01-24T00:00:00]"/>
            <x15:cachedUniqueName index="27" name="[tblHistory].[Date].&amp;[2026-01-25T00:00:00]"/>
            <x15:cachedUniqueName index="28" name="[tblHistory].[Date].&amp;[2026-01-26T00:00:00]"/>
            <x15:cachedUniqueName index="29" name="[tblHistory].[Date].&amp;[2026-01-27T00:00:00]"/>
            <x15:cachedUniqueName index="30" name="[tblHistory].[Date].&amp;[2026-01-28T00:00:00]"/>
            <x15:cachedUniqueName index="31" name="[tblHistory].[Date].&amp;[2026-01-29T00:00:00]"/>
            <x15:cachedUniqueName index="32" name="[tblHistory].[Date].&amp;[2026-01-30T00:00:00]"/>
            <x15:cachedUniqueName index="33" name="[tblHistory].[Date].&amp;[2026-01-31T00:00:00]"/>
            <x15:cachedUniqueName index="34" name="[tblHistory].[Date].&amp;[2026-02-01T00:00:00]"/>
            <x15:cachedUniqueName index="35" name="[tblHistory].[Date].&amp;[2026-02-02T00:00:00]"/>
            <x15:cachedUniqueName index="36" name="[tblHistory].[Date].&amp;[2026-02-03T00:00:00]"/>
            <x15:cachedUniqueName index="37" name="[tblHistory].[Date].&amp;[2026-02-04T00:00:00]"/>
            <x15:cachedUniqueName index="38" name="[tblHistory].[Date].&amp;[2026-02-05T00:00:00]"/>
            <x15:cachedUniqueName index="39" name="[tblHistory].[Date].&amp;[2026-02-06T00:00:00]"/>
            <x15:cachedUniqueName index="40" name="[tblHistory].[Date].&amp;[2026-02-07T00:00:00]"/>
            <x15:cachedUniqueName index="41" name="[tblHistory].[Date].&amp;[2026-02-08T00:00:00]"/>
            <x15:cachedUniqueName index="42" name="[tblHistory].[Date].&amp;[2026-02-09T00:00:00]"/>
            <x15:cachedUniqueName index="43" name="[tblHistory].[Date].&amp;[2026-02-10T00:00:00]"/>
            <x15:cachedUniqueName index="44" name="[tblHistory].[Date].&amp;[2026-02-11T00:00:00]"/>
            <x15:cachedUniqueName index="45" name="[tblHistory].[Date].&amp;[2026-02-12T00:00:00]"/>
            <x15:cachedUniqueName index="46" name="[tblHistory].[Date].&amp;[2026-02-13T00:00:00]"/>
            <x15:cachedUniqueName index="47" name="[tblHistory].[Date].&amp;[2026-02-14T00:00:00]"/>
            <x15:cachedUniqueName index="48" name="[tblHistory].[Date].&amp;[2026-02-15T00:00:00]"/>
            <x15:cachedUniqueName index="49" name="[tblHistory].[Date].&amp;[2026-02-16T00:00:00]"/>
            <x15:cachedUniqueName index="50" name="[tblHistory].[Date].&amp;[2026-02-17T00:00:00]"/>
            <x15:cachedUniqueName index="51" name="[tblHistory].[Date].&amp;[2026-02-18T00:00:00]"/>
            <x15:cachedUniqueName index="52" name="[tblHistory].[Date].&amp;[2026-02-19T00:00:00]"/>
            <x15:cachedUniqueName index="53" name="[tblHistory].[Date].&amp;[2026-02-20T00:00:00]"/>
            <x15:cachedUniqueName index="54" name="[tblHistory].[Date].&amp;[2026-02-21T00:00:00]"/>
            <x15:cachedUniqueName index="55" name="[tblHistory].[Date].&amp;[2026-02-22T00:00:00]"/>
            <x15:cachedUniqueName index="56" name="[tblHistory].[Date].&amp;[2026-02-23T00:00:00]"/>
            <x15:cachedUniqueName index="57" name="[tblHistory].[Date].&amp;[2026-02-24T00:00:00]"/>
            <x15:cachedUniqueName index="58" name="[tblHistory].[Date].&amp;[2026-02-25T00:00:00]"/>
            <x15:cachedUniqueName index="59" name="[tblHistory].[Date].&amp;[2026-02-26T00:00:00]"/>
            <x15:cachedUniqueName index="60" name="[tblHistory].[Date].&amp;[2026-02-27T00:00:00]"/>
            <x15:cachedUniqueName index="61" name="[tblHistory].[Date].&amp;[2026-02-28T00:00:00]"/>
            <x15:cachedUniqueName index="62" name="[tblHistory].[Date].&amp;[2026-03-01T00:00:00]"/>
            <x15:cachedUniqueName index="63" name="[tblHistory].[Date].&amp;[2026-03-02T00:00:00]"/>
            <x15:cachedUniqueName index="64" name="[tblHistory].[Date].&amp;[2026-03-03T00:00:00]"/>
            <x15:cachedUniqueName index="65" name="[tblHistory].[Date].&amp;[2026-03-04T00:00:00]"/>
            <x15:cachedUniqueName index="66" name="[tblHistory].[Date].&amp;[2026-03-05T00:00:00]"/>
            <x15:cachedUniqueName index="67" name="[tblHistory].[Date].&amp;[2026-03-06T00:00:00]"/>
            <x15:cachedUniqueName index="68" name="[tblHistory].[Date].&amp;[2026-03-07T00:00:00]"/>
            <x15:cachedUniqueName index="69" name="[tblHistory].[Date].&amp;[2026-03-08T00:00:00]"/>
            <x15:cachedUniqueName index="70" name="[tblHistory].[Date].&amp;[2026-03-09T00:00:00]"/>
            <x15:cachedUniqueName index="71" name="[tblHistory].[Date].&amp;[2026-03-10T00:00:00]"/>
            <x15:cachedUniqueName index="72" name="[tblHistory].[Date].&amp;[2026-03-11T00:00:00]"/>
            <x15:cachedUniqueName index="73" name="[tblHistory].[Date].&amp;[2026-03-12T00:00:00]"/>
            <x15:cachedUniqueName index="74" name="[tblHistory].[Date].&amp;[2026-03-13T00:00:00]"/>
            <x15:cachedUniqueName index="75" name="[tblHistory].[Date].&amp;[2026-03-14T00:00:00]"/>
            <x15:cachedUniqueName index="76" name="[tblHistory].[Date].&amp;[2026-03-15T00:00:00]"/>
            <x15:cachedUniqueName index="77" name="[tblHistory].[Date].&amp;[2026-03-16T00:00:00]"/>
            <x15:cachedUniqueName index="78" name="[tblHistory].[Date].&amp;[2026-03-17T00:00:00]"/>
            <x15:cachedUniqueName index="79" name="[tblHistory].[Date].&amp;[2026-03-18T00:00:00]"/>
            <x15:cachedUniqueName index="80" name="[tblHistory].[Date].&amp;[2026-03-19T00:00:00]"/>
            <x15:cachedUniqueName index="81" name="[tblHistory].[Date].&amp;[2026-03-20T00:00:00]"/>
            <x15:cachedUniqueName index="82" name="[tblHistory].[Date].&amp;[2026-03-21T00:00:00]"/>
            <x15:cachedUniqueName index="83" name="[tblHistory].[Date].&amp;[2026-03-22T00:00:00]"/>
            <x15:cachedUniqueName index="84" name="[tblHistory].[Date].&amp;[2026-03-23T00:00:00]"/>
            <x15:cachedUniqueName index="85" name="[tblHistory].[Date].&amp;[2026-03-24T00:00:00]"/>
            <x15:cachedUniqueName index="86" name="[tblHistory].[Date].&amp;[2026-03-25T00:00:00]"/>
            <x15:cachedUniqueName index="87" name="[tblHistory].[Date].&amp;[2026-03-26T00:00:00]"/>
            <x15:cachedUniqueName index="88" name="[tblHistory].[Date].&amp;[2026-03-27T00:00:00]"/>
            <x15:cachedUniqueName index="89" name="[tblHistory].[Date].&amp;[2026-03-28T00:00:00]"/>
            <x15:cachedUniqueName index="90" name="[tblHistory].[Date].&amp;[2026-03-29T00:00:00]"/>
            <x15:cachedUniqueName index="91" name="[tblHistory].[Date].&amp;[2026-03-30T00:00:00]"/>
            <x15:cachedUniqueName index="92" name="[tblHistory].[Date].&amp;[2026-03-31T00:00:00]"/>
            <x15:cachedUniqueName index="93" name="[tblHistory].[Date].&amp;[2026-04-01T00:00:00]"/>
            <x15:cachedUniqueName index="94" name="[tblHistory].[Date].&amp;[2026-04-02T00:00:00]"/>
            <x15:cachedUniqueName index="95" name="[tblHistory].[Date].&amp;[2026-04-03T00:00:00]"/>
            <x15:cachedUniqueName index="96" name="[tblHistory].[Date].&amp;[2026-04-04T00:00:00]"/>
            <x15:cachedUniqueName index="97" name="[tblHistory].[Date].&amp;[2026-04-05T00:00:00]"/>
          </x15:cachedUniqueNames>
        </ext>
      </extLst>
    </cacheField>
    <cacheField name="[tblHistory].[RoleCategory].[RoleCategory]" caption="RoleCategory" numFmtId="0" hierarchy="2" level="1">
      <sharedItems count="3">
        <s v="Chef"/>
        <s v="Manager"/>
        <s v="Server"/>
      </sharedItems>
      <extLst>
        <ext xmlns:x15="http://schemas.microsoft.com/office/spreadsheetml/2010/11/main" uri="{4F2E5C28-24EA-4eb8-9CBF-B6C8F9C3D259}">
          <x15:cachedUniqueNames>
            <x15:cachedUniqueName index="0" name="[tblHistory].[RoleCategory].&amp;[Chef]"/>
            <x15:cachedUniqueName index="1" name="[tblHistory].[RoleCategory].&amp;[Manager]"/>
            <x15:cachedUniqueName index="2" name="[tblHistory].[RoleCategory].&amp;[Server]"/>
          </x15:cachedUniqueNames>
        </ext>
      </extLst>
    </cacheField>
    <cacheField name="[Measures].[Sum of Wage]" caption="Sum of Wage" numFmtId="0" hierarchy="24" level="32767"/>
  </cacheFields>
  <cacheHierarchies count="36">
    <cacheHierarchy uniqueName="[tblHistory].[StaffName]" caption="StaffName" attribute="1" defaultMemberUniqueName="[tblHistory].[StaffName].[All]" allUniqueName="[tblHistory].[StaffName].[All]" dimensionUniqueName="[tblHistory]" displayFolder="" count="2" memberValueDatatype="130" unbalanced="0"/>
    <cacheHierarchy uniqueName="[tblHistory].[Role]" caption="Role" attribute="1" defaultMemberUniqueName="[tblHistory].[Role].[All]" allUniqueName="[tblHistory].[Role].[All]" dimensionUniqueName="[tblHistory]" displayFolder="" count="0" memberValueDatatype="130" unbalanced="0"/>
    <cacheHierarchy uniqueName="[tblHistory].[RoleCategory]" caption="RoleCategory" attribute="1" defaultMemberUniqueName="[tblHistory].[RoleCategory].[All]" allUniqueName="[tblHistory].[RoleCategory].[All]" dimensionUniqueName="[tblHistory]" displayFolder="" count="2" memberValueDatatype="130" unbalanced="0">
      <fieldsUsage count="2">
        <fieldUsage x="-1"/>
        <fieldUsage x="2"/>
      </fieldsUsage>
    </cacheHierarchy>
    <cacheHierarchy uniqueName="[tblHistory].[FullPart]" caption="FullPart" attribute="1" defaultMemberUniqueName="[tblHistory].[FullPart].[All]" allUniqueName="[tblHistory].[FullPart].[All]" dimensionUniqueName="[tblHistory]" displayFolder="" count="2" memberValueDatatype="130" unbalanced="0"/>
    <cacheHierarchy uniqueName="[tblHistory].[HourlyRate]" caption="HourlyRate" attribute="1" defaultMemberUniqueName="[tblHistory].[HourlyRate].[All]" allUniqueName="[tblHistory].[HourlyRate].[All]" dimensionUniqueName="[tblHistory]" displayFolder="" count="0" memberValueDatatype="20" unbalanced="0"/>
    <cacheHierarchy uniqueName="[tblHistory].[MaxHour]" caption="MaxHour" attribute="1" defaultMemberUniqueName="[tblHistory].[MaxHour].[All]" allUniqueName="[tblHistory].[MaxHour].[All]" dimensionUniqueName="[tblHistory]" displayFolder="" count="0" memberValueDatatype="20" unbalanced="0"/>
    <cacheHierarchy uniqueName="[tblHistory].[WeekDay]" caption="WeekDay" attribute="1" defaultMemberUniqueName="[tblHistory].[WeekDay].[All]" allUniqueName="[tblHistory].[WeekDay].[All]" dimensionUniqueName="[tblHistory]" displayFolder="" count="0" memberValueDatatype="130" unbalanced="0"/>
    <cacheHierarchy uniqueName="[tblHistory].[ShiftCode]" caption="ShiftCode" attribute="1" defaultMemberUniqueName="[tblHistory].[ShiftCode].[All]" allUniqueName="[tblHistory].[ShiftCode].[All]" dimensionUniqueName="[tblHistory]" displayFolder="" count="0" memberValueDatatype="130" unbalanced="0"/>
    <cacheHierarchy uniqueName="[tblHistory].[Date]" caption="Date" attribute="1" time="1" defaultMemberUniqueName="[tblHistory].[Date].[All]" allUniqueName="[tblHistory].[Date].[All]" dimensionUniqueName="[tblHistory]" displayFolder="" count="2" memberValueDatatype="7" unbalanced="0">
      <fieldsUsage count="2">
        <fieldUsage x="-1"/>
        <fieldUsage x="1"/>
      </fieldsUsage>
    </cacheHierarchy>
    <cacheHierarchy uniqueName="[tblHistory].[IsWeekend]" caption="IsWeekend" attribute="1" defaultMemberUniqueName="[tblHistory].[IsWeekend].[All]" allUniqueName="[tblHistory].[IsWeekend].[All]" dimensionUniqueName="[tblHistory]" displayFolder="" count="0" memberValueDatatype="130" unbalanced="0"/>
    <cacheHierarchy uniqueName="[tblHistory].[IsHoliday]" caption="IsHoliday" attribute="1" defaultMemberUniqueName="[tblHistory].[IsHoliday].[All]" allUniqueName="[tblHistory].[IsHoliday].[All]" dimensionUniqueName="[tblHistory]" displayFolder="" count="0" memberValueDatatype="130" unbalanced="0"/>
    <cacheHierarchy uniqueName="[tblHistory].[HolidayOrWeekend]" caption="HolidayOrWeekend" attribute="1" defaultMemberUniqueName="[tblHistory].[HolidayOrWeekend].[All]" allUniqueName="[tblHistory].[HolidayOrWeekend].[All]" dimensionUniqueName="[tblHistory]" displayFolder="" count="0" memberValueDatatype="130" unbalanced="0"/>
    <cacheHierarchy uniqueName="[tblHistory].[WorkingHour]" caption="WorkingHour" attribute="1" defaultMemberUniqueName="[tblHistory].[WorkingHour].[All]" allUniqueName="[tblHistory].[WorkingHour].[All]" dimensionUniqueName="[tblHistory]" displayFolder="" count="0" memberValueDatatype="5" unbalanced="0"/>
    <cacheHierarchy uniqueName="[tblHistory].[Wage]" caption="Wage" attribute="1" defaultMemberUniqueName="[tblHistory].[Wage].[All]" allUniqueName="[tblHistory].[Wage].[All]" dimensionUniqueName="[tblHistory]" displayFolder="" count="0" memberValueDatatype="5" unbalanced="0"/>
    <cacheHierarchy uniqueName="[tblHistory].[MaxHourPerDay]" caption="MaxHourPerDay" attribute="1" defaultMemberUniqueName="[tblHistory].[MaxHourPerDay].[All]" allUniqueName="[tblHistory].[MaxHourPerDay].[All]" dimensionUniqueName="[tblHistory]" displayFolder="" count="0" memberValueDatatype="5" unbalanced="0"/>
    <cacheHierarchy uniqueName="[tblHistory].[PremiumShift]" caption="PremiumShift" attribute="1" defaultMemberUniqueName="[tblHistory].[PremiumShift].[All]" allUniqueName="[tblHistory].[PremiumShift].[All]" dimensionUniqueName="[tblHistory]" displayFolder="" count="0" memberValueDatatype="20" unbalanced="0"/>
    <cacheHierarchy uniqueName="[tblHistory].[Date (Year)]" caption="Date (Year)" attribute="1" defaultMemberUniqueName="[tblHistory].[Date (Year)].[All]" allUniqueName="[tblHistory].[Date (Year)].[All]" dimensionUniqueName="[tblHistory]" displayFolder="" count="2" memberValueDatatype="130" unbalanced="0"/>
    <cacheHierarchy uniqueName="[tblHistory].[Date (Quarter)]" caption="Date (Quarter)" attribute="1" defaultMemberUniqueName="[tblHistory].[Date (Quarter)].[All]" allUniqueName="[tblHistory].[Date (Quarter)].[All]" dimensionUniqueName="[tblHistory]" displayFolder="" count="2" memberValueDatatype="130" unbalanced="0"/>
    <cacheHierarchy uniqueName="[tblHistory].[Date (Month)]" caption="Date (Month)" attribute="1" defaultMemberUniqueName="[tblHistory].[Date (Month)].[All]" allUniqueName="[tblHistory].[Date (Month)].[All]" dimensionUniqueName="[tblHistory]" displayFolder="" count="2" memberValueDatatype="130" unbalanced="0">
      <fieldsUsage count="2">
        <fieldUsage x="-1"/>
        <fieldUsage x="0"/>
      </fieldsUsage>
    </cacheHierarchy>
    <cacheHierarchy uniqueName="[tblHistory].[Date (Month Index)]" caption="Date (Month Index)" attribute="1" defaultMemberUniqueName="[tblHistory].[Date (Month Index)].[All]" allUniqueName="[tblHistory].[Date (Month Index)].[All]" dimensionUniqueName="[tblHistory]" displayFolder="" count="0" memberValueDatatype="20" unbalanced="0" hidden="1"/>
    <cacheHierarchy uniqueName="[Measures].[Sum of PremiumShift]" caption="Sum of PremiumShift" measure="1" displayFolder="" measureGroup="tblHistory" count="0">
      <extLst>
        <ext xmlns:x15="http://schemas.microsoft.com/office/spreadsheetml/2010/11/main" uri="{B97F6D7D-B522-45F9-BDA1-12C45D357490}">
          <x15:cacheHierarchy aggregatedColumn="15"/>
        </ext>
      </extLst>
    </cacheHierarchy>
    <cacheHierarchy uniqueName="[Measures].[Count of StaffName]" caption="Count of StaffName" measure="1" displayFolder="" measureGroup="tblHistory" count="0">
      <extLst>
        <ext xmlns:x15="http://schemas.microsoft.com/office/spreadsheetml/2010/11/main" uri="{B97F6D7D-B522-45F9-BDA1-12C45D357490}">
          <x15:cacheHierarchy aggregatedColumn="0"/>
        </ext>
      </extLst>
    </cacheHierarchy>
    <cacheHierarchy uniqueName="[Measures].[Distinct Count of StaffName]" caption="Distinct Count of StaffName" measure="1" displayFolder="" measureGroup="tblHistory" count="0">
      <extLst>
        <ext xmlns:x15="http://schemas.microsoft.com/office/spreadsheetml/2010/11/main" uri="{B97F6D7D-B522-45F9-BDA1-12C45D357490}">
          <x15:cacheHierarchy aggregatedColumn="0"/>
        </ext>
      </extLst>
    </cacheHierarchy>
    <cacheHierarchy uniqueName="[Measures].[Sum of WorkingHour]" caption="Sum of WorkingHour" measure="1" displayFolder="" measureGroup="tblHistory" count="0">
      <extLst>
        <ext xmlns:x15="http://schemas.microsoft.com/office/spreadsheetml/2010/11/main" uri="{B97F6D7D-B522-45F9-BDA1-12C45D357490}">
          <x15:cacheHierarchy aggregatedColumn="12"/>
        </ext>
      </extLst>
    </cacheHierarchy>
    <cacheHierarchy uniqueName="[Measures].[Sum of Wage]" caption="Sum of Wage" measure="1" displayFolder="" measureGroup="tblHistory" count="0" oneField="1">
      <fieldsUsage count="1">
        <fieldUsage x="3"/>
      </fieldsUsage>
      <extLst>
        <ext xmlns:x15="http://schemas.microsoft.com/office/spreadsheetml/2010/11/main" uri="{B97F6D7D-B522-45F9-BDA1-12C45D357490}">
          <x15:cacheHierarchy aggregatedColumn="13"/>
        </ext>
      </extLst>
    </cacheHierarchy>
    <cacheHierarchy uniqueName="[Measures].[Sum of MaxHourPerDay]" caption="Sum of MaxHourPerDay" measure="1" displayFolder="" measureGroup="tblHistory" count="0">
      <extLst>
        <ext xmlns:x15="http://schemas.microsoft.com/office/spreadsheetml/2010/11/main" uri="{B97F6D7D-B522-45F9-BDA1-12C45D357490}">
          <x15:cacheHierarchy aggregatedColumn="14"/>
        </ext>
      </extLst>
    </cacheHierarchy>
    <cacheHierarchy uniqueName="[Measures].[HolidayWeekendCount]" caption="HolidayWeekendCount" measure="1" displayFolder="" measureGroup="tblHistory" count="0"/>
    <cacheHierarchy uniqueName="[Measures].[AvgWagePerHour]" caption="AvgWagePerHour" measure="1" displayFolder="" measureGroup="tblHistory" count="0"/>
    <cacheHierarchy uniqueName="[Measures].[SafeHour]" caption="SafeHour" measure="1" displayFolder="" measureGroup="tblHistory" count="0"/>
    <cacheHierarchy uniqueName="[Measures].[OvertimedHour]" caption="OvertimedHour" measure="1" displayFolder="" measureGroup="tblHistory" count="0"/>
    <cacheHierarchy uniqueName="[Measures].[WorkloadPercentSafe]" caption="WorkloadPercentSafe" measure="1" displayFolder="" measureGroup="tblHistory" count="0"/>
    <cacheHierarchy uniqueName="[Measures].[WorkloadPercentOvertimed]" caption="WorkloadPercentOvertimed" measure="1" displayFolder="" measureGroup="tblHistory" count="0"/>
    <cacheHierarchy uniqueName="[Measures].[PremShiftBelow75]" caption="PremShiftBelow75" measure="1" displayFolder="" measureGroup="tblHistory" count="0"/>
    <cacheHierarchy uniqueName="[Measures].[PremShiftOver75]" caption="PremShiftOver75" measure="1" displayFolder="" measureGroup="tblHistory" count="0"/>
    <cacheHierarchy uniqueName="[Measures].[__XL_Count tblHistory]" caption="__XL_Count tblHistory" measure="1" displayFolder="" measureGroup="tblHistory" count="0" hidden="1"/>
    <cacheHierarchy uniqueName="[Measures].[__No measures defined]" caption="__No measures defined" measure="1" displayFolder="" count="0" hidden="1"/>
  </cacheHierarchies>
  <kpis count="0"/>
  <dimensions count="2">
    <dimension measure="1" name="Measures" uniqueName="[Measures]" caption="Measures"/>
    <dimension name="tblHistory" uniqueName="[tblHistory]" caption="tblHistory"/>
  </dimensions>
  <measureGroups count="1">
    <measureGroup name="tblHistory" caption="tblHistory"/>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FunWithExcel" refreshedDate="46139.483703935184" backgroundQuery="1" createdVersion="7" refreshedVersion="7" minRefreshableVersion="3" recordCount="0" supportSubquery="1" supportAdvancedDrill="1" xr:uid="{A7BACE96-F3FF-4FB0-A5DB-88E0A308E6DF}">
  <cacheSource type="external" connectionId="2"/>
  <cacheFields count="4">
    <cacheField name="[tblHistory].[RoleCategory].[RoleCategory]" caption="RoleCategory" numFmtId="0" hierarchy="2" level="1">
      <sharedItems count="3">
        <s v="Chef"/>
        <s v="Manager"/>
        <s v="Server"/>
      </sharedItems>
      <extLst>
        <ext xmlns:x15="http://schemas.microsoft.com/office/spreadsheetml/2010/11/main" uri="{4F2E5C28-24EA-4eb8-9CBF-B6C8F9C3D259}">
          <x15:cachedUniqueNames>
            <x15:cachedUniqueName index="0" name="[tblHistory].[RoleCategory].&amp;[Chef]"/>
            <x15:cachedUniqueName index="1" name="[tblHistory].[RoleCategory].&amp;[Manager]"/>
            <x15:cachedUniqueName index="2" name="[tblHistory].[RoleCategory].&amp;[Server]"/>
          </x15:cachedUniqueNames>
        </ext>
      </extLst>
    </cacheField>
    <cacheField name="[tblHistory].[StaffName].[StaffName]" caption="StaffName" numFmtId="0" level="1">
      <sharedItems count="13">
        <s v="Glenn Silver"/>
        <s v="Jenna Gold"/>
        <s v="Max Titanium"/>
        <s v="Oliver East"/>
        <s v="David South"/>
        <s v="Jonh West"/>
        <s v="Will North"/>
        <s v="Aaliyah Khan"/>
        <s v="Elena Rodriguez"/>
        <s v="Julian Chen"/>
        <s v="Leo Moretti"/>
        <s v="Marcus Thompson"/>
        <s v="Sarah Jenkins"/>
      </sharedItems>
      <extLst>
        <ext xmlns:x15="http://schemas.microsoft.com/office/spreadsheetml/2010/11/main" uri="{4F2E5C28-24EA-4eb8-9CBF-B6C8F9C3D259}">
          <x15:cachedUniqueNames>
            <x15:cachedUniqueName index="0" name="[tblHistory].[StaffName].&amp;[Glenn Silver]"/>
            <x15:cachedUniqueName index="1" name="[tblHistory].[StaffName].&amp;[Jenna Gold]"/>
            <x15:cachedUniqueName index="2" name="[tblHistory].[StaffName].&amp;[Max Titanium]"/>
            <x15:cachedUniqueName index="3" name="[tblHistory].[StaffName].&amp;[Oliver East]"/>
            <x15:cachedUniqueName index="4" name="[tblHistory].[StaffName].&amp;[David South]"/>
            <x15:cachedUniqueName index="5" name="[tblHistory].[StaffName].&amp;[Jonh West]"/>
            <x15:cachedUniqueName index="6" name="[tblHistory].[StaffName].&amp;[Will North]"/>
            <x15:cachedUniqueName index="7" name="[tblHistory].[StaffName].&amp;[Aaliyah Khan]"/>
            <x15:cachedUniqueName index="8" name="[tblHistory].[StaffName].&amp;[Elena Rodriguez]"/>
            <x15:cachedUniqueName index="9" name="[tblHistory].[StaffName].&amp;[Julian Chen]"/>
            <x15:cachedUniqueName index="10" name="[tblHistory].[StaffName].&amp;[Leo Moretti]"/>
            <x15:cachedUniqueName index="11" name="[tblHistory].[StaffName].&amp;[Marcus Thompson]"/>
            <x15:cachedUniqueName index="12" name="[tblHistory].[StaffName].&amp;[Sarah Jenkins]"/>
          </x15:cachedUniqueNames>
        </ext>
      </extLst>
    </cacheField>
    <cacheField name="[Measures].[WorkloadPercentSafe]" caption="WorkloadPercentSafe" numFmtId="0" hierarchy="30" level="32767"/>
    <cacheField name="[Measures].[WorkloadPercentOvertimed]" caption="WorkloadPercentOvertimed" numFmtId="0" hierarchy="31" level="32767"/>
  </cacheFields>
  <cacheHierarchies count="36">
    <cacheHierarchy uniqueName="[tblHistory].[StaffName]" caption="StaffName" attribute="1" defaultMemberUniqueName="[tblHistory].[StaffName].[All]" allUniqueName="[tblHistory].[StaffName].[All]" dimensionUniqueName="[tblHistory]" displayFolder="" count="2" memberValueDatatype="130" unbalanced="0">
      <fieldsUsage count="2">
        <fieldUsage x="-1"/>
        <fieldUsage x="1"/>
      </fieldsUsage>
    </cacheHierarchy>
    <cacheHierarchy uniqueName="[tblHistory].[Role]" caption="Role" attribute="1" defaultMemberUniqueName="[tblHistory].[Role].[All]" allUniqueName="[tblHistory].[Role].[All]" dimensionUniqueName="[tblHistory]" displayFolder="" count="0" memberValueDatatype="130" unbalanced="0"/>
    <cacheHierarchy uniqueName="[tblHistory].[RoleCategory]" caption="RoleCategory" attribute="1" defaultMemberUniqueName="[tblHistory].[RoleCategory].[All]" allUniqueName="[tblHistory].[RoleCategory].[All]" dimensionUniqueName="[tblHistory]" displayFolder="" count="2" memberValueDatatype="130" unbalanced="0">
      <fieldsUsage count="2">
        <fieldUsage x="-1"/>
        <fieldUsage x="0"/>
      </fieldsUsage>
    </cacheHierarchy>
    <cacheHierarchy uniqueName="[tblHistory].[FullPart]" caption="FullPart" attribute="1" defaultMemberUniqueName="[tblHistory].[FullPart].[All]" allUniqueName="[tblHistory].[FullPart].[All]" dimensionUniqueName="[tblHistory]" displayFolder="" count="2" memberValueDatatype="130" unbalanced="0"/>
    <cacheHierarchy uniqueName="[tblHistory].[HourlyRate]" caption="HourlyRate" attribute="1" defaultMemberUniqueName="[tblHistory].[HourlyRate].[All]" allUniqueName="[tblHistory].[HourlyRate].[All]" dimensionUniqueName="[tblHistory]" displayFolder="" count="0" memberValueDatatype="20" unbalanced="0"/>
    <cacheHierarchy uniqueName="[tblHistory].[MaxHour]" caption="MaxHour" attribute="1" defaultMemberUniqueName="[tblHistory].[MaxHour].[All]" allUniqueName="[tblHistory].[MaxHour].[All]" dimensionUniqueName="[tblHistory]" displayFolder="" count="0" memberValueDatatype="20" unbalanced="0"/>
    <cacheHierarchy uniqueName="[tblHistory].[WeekDay]" caption="WeekDay" attribute="1" defaultMemberUniqueName="[tblHistory].[WeekDay].[All]" allUniqueName="[tblHistory].[WeekDay].[All]" dimensionUniqueName="[tblHistory]" displayFolder="" count="0" memberValueDatatype="130" unbalanced="0"/>
    <cacheHierarchy uniqueName="[tblHistory].[ShiftCode]" caption="ShiftCode" attribute="1" defaultMemberUniqueName="[tblHistory].[ShiftCode].[All]" allUniqueName="[tblHistory].[ShiftCode].[All]" dimensionUniqueName="[tblHistory]" displayFolder="" count="0" memberValueDatatype="130" unbalanced="0"/>
    <cacheHierarchy uniqueName="[tblHistory].[Date]" caption="Date" attribute="1" time="1" defaultMemberUniqueName="[tblHistory].[Date].[All]" allUniqueName="[tblHistory].[Date].[All]" dimensionUniqueName="[tblHistory]" displayFolder="" count="2" memberValueDatatype="7" unbalanced="0"/>
    <cacheHierarchy uniqueName="[tblHistory].[IsWeekend]" caption="IsWeekend" attribute="1" defaultMemberUniqueName="[tblHistory].[IsWeekend].[All]" allUniqueName="[tblHistory].[IsWeekend].[All]" dimensionUniqueName="[tblHistory]" displayFolder="" count="0" memberValueDatatype="130" unbalanced="0"/>
    <cacheHierarchy uniqueName="[tblHistory].[IsHoliday]" caption="IsHoliday" attribute="1" defaultMemberUniqueName="[tblHistory].[IsHoliday].[All]" allUniqueName="[tblHistory].[IsHoliday].[All]" dimensionUniqueName="[tblHistory]" displayFolder="" count="0" memberValueDatatype="130" unbalanced="0"/>
    <cacheHierarchy uniqueName="[tblHistory].[HolidayOrWeekend]" caption="HolidayOrWeekend" attribute="1" defaultMemberUniqueName="[tblHistory].[HolidayOrWeekend].[All]" allUniqueName="[tblHistory].[HolidayOrWeekend].[All]" dimensionUniqueName="[tblHistory]" displayFolder="" count="0" memberValueDatatype="130" unbalanced="0"/>
    <cacheHierarchy uniqueName="[tblHistory].[WorkingHour]" caption="WorkingHour" attribute="1" defaultMemberUniqueName="[tblHistory].[WorkingHour].[All]" allUniqueName="[tblHistory].[WorkingHour].[All]" dimensionUniqueName="[tblHistory]" displayFolder="" count="0" memberValueDatatype="5" unbalanced="0"/>
    <cacheHierarchy uniqueName="[tblHistory].[Wage]" caption="Wage" attribute="1" defaultMemberUniqueName="[tblHistory].[Wage].[All]" allUniqueName="[tblHistory].[Wage].[All]" dimensionUniqueName="[tblHistory]" displayFolder="" count="0" memberValueDatatype="5" unbalanced="0"/>
    <cacheHierarchy uniqueName="[tblHistory].[MaxHourPerDay]" caption="MaxHourPerDay" attribute="1" defaultMemberUniqueName="[tblHistory].[MaxHourPerDay].[All]" allUniqueName="[tblHistory].[MaxHourPerDay].[All]" dimensionUniqueName="[tblHistory]" displayFolder="" count="0" memberValueDatatype="5" unbalanced="0"/>
    <cacheHierarchy uniqueName="[tblHistory].[PremiumShift]" caption="PremiumShift" attribute="1" defaultMemberUniqueName="[tblHistory].[PremiumShift].[All]" allUniqueName="[tblHistory].[PremiumShift].[All]" dimensionUniqueName="[tblHistory]" displayFolder="" count="0" memberValueDatatype="20" unbalanced="0"/>
    <cacheHierarchy uniqueName="[tblHistory].[Date (Year)]" caption="Date (Year)" attribute="1" defaultMemberUniqueName="[tblHistory].[Date (Year)].[All]" allUniqueName="[tblHistory].[Date (Year)].[All]" dimensionUniqueName="[tblHistory]" displayFolder="" count="0" memberValueDatatype="130" unbalanced="0"/>
    <cacheHierarchy uniqueName="[tblHistory].[Date (Quarter)]" caption="Date (Quarter)" attribute="1" defaultMemberUniqueName="[tblHistory].[Date (Quarter)].[All]" allUniqueName="[tblHistory].[Date (Quarter)].[All]" dimensionUniqueName="[tblHistory]" displayFolder="" count="0" memberValueDatatype="130" unbalanced="0"/>
    <cacheHierarchy uniqueName="[tblHistory].[Date (Month)]" caption="Date (Month)" attribute="1" defaultMemberUniqueName="[tblHistory].[Date (Month)].[All]" allUniqueName="[tblHistory].[Date (Month)].[All]" dimensionUniqueName="[tblHistory]" displayFolder="" count="0" memberValueDatatype="130" unbalanced="0"/>
    <cacheHierarchy uniqueName="[tblHistory].[Date (Month Index)]" caption="Date (Month Index)" attribute="1" defaultMemberUniqueName="[tblHistory].[Date (Month Index)].[All]" allUniqueName="[tblHistory].[Date (Month Index)].[All]" dimensionUniqueName="[tblHistory]" displayFolder="" count="0" memberValueDatatype="20" unbalanced="0" hidden="1"/>
    <cacheHierarchy uniqueName="[Measures].[Sum of PremiumShift]" caption="Sum of PremiumShift" measure="1" displayFolder="" measureGroup="tblHistory" count="0">
      <extLst>
        <ext xmlns:x15="http://schemas.microsoft.com/office/spreadsheetml/2010/11/main" uri="{B97F6D7D-B522-45F9-BDA1-12C45D357490}">
          <x15:cacheHierarchy aggregatedColumn="15"/>
        </ext>
      </extLst>
    </cacheHierarchy>
    <cacheHierarchy uniqueName="[Measures].[Count of StaffName]" caption="Count of StaffName" measure="1" displayFolder="" measureGroup="tblHistory" count="0">
      <extLst>
        <ext xmlns:x15="http://schemas.microsoft.com/office/spreadsheetml/2010/11/main" uri="{B97F6D7D-B522-45F9-BDA1-12C45D357490}">
          <x15:cacheHierarchy aggregatedColumn="0"/>
        </ext>
      </extLst>
    </cacheHierarchy>
    <cacheHierarchy uniqueName="[Measures].[Distinct Count of StaffName]" caption="Distinct Count of StaffName" measure="1" displayFolder="" measureGroup="tblHistory" count="0">
      <extLst>
        <ext xmlns:x15="http://schemas.microsoft.com/office/spreadsheetml/2010/11/main" uri="{B97F6D7D-B522-45F9-BDA1-12C45D357490}">
          <x15:cacheHierarchy aggregatedColumn="0"/>
        </ext>
      </extLst>
    </cacheHierarchy>
    <cacheHierarchy uniqueName="[Measures].[Sum of WorkingHour]" caption="Sum of WorkingHour" measure="1" displayFolder="" measureGroup="tblHistory" count="0">
      <extLst>
        <ext xmlns:x15="http://schemas.microsoft.com/office/spreadsheetml/2010/11/main" uri="{B97F6D7D-B522-45F9-BDA1-12C45D357490}">
          <x15:cacheHierarchy aggregatedColumn="12"/>
        </ext>
      </extLst>
    </cacheHierarchy>
    <cacheHierarchy uniqueName="[Measures].[Sum of Wage]" caption="Sum of Wage" measure="1" displayFolder="" measureGroup="tblHistory" count="0">
      <extLst>
        <ext xmlns:x15="http://schemas.microsoft.com/office/spreadsheetml/2010/11/main" uri="{B97F6D7D-B522-45F9-BDA1-12C45D357490}">
          <x15:cacheHierarchy aggregatedColumn="13"/>
        </ext>
      </extLst>
    </cacheHierarchy>
    <cacheHierarchy uniqueName="[Measures].[Sum of MaxHourPerDay]" caption="Sum of MaxHourPerDay" measure="1" displayFolder="" measureGroup="tblHistory" count="0">
      <extLst>
        <ext xmlns:x15="http://schemas.microsoft.com/office/spreadsheetml/2010/11/main" uri="{B97F6D7D-B522-45F9-BDA1-12C45D357490}">
          <x15:cacheHierarchy aggregatedColumn="14"/>
        </ext>
      </extLst>
    </cacheHierarchy>
    <cacheHierarchy uniqueName="[Measures].[HolidayWeekendCount]" caption="HolidayWeekendCount" measure="1" displayFolder="" measureGroup="tblHistory" count="0"/>
    <cacheHierarchy uniqueName="[Measures].[AvgWagePerHour]" caption="AvgWagePerHour" measure="1" displayFolder="" measureGroup="tblHistory" count="0"/>
    <cacheHierarchy uniqueName="[Measures].[SafeHour]" caption="SafeHour" measure="1" displayFolder="" measureGroup="tblHistory" count="0"/>
    <cacheHierarchy uniqueName="[Measures].[OvertimedHour]" caption="OvertimedHour" measure="1" displayFolder="" measureGroup="tblHistory" count="0"/>
    <cacheHierarchy uniqueName="[Measures].[WorkloadPercentSafe]" caption="WorkloadPercentSafe" measure="1" displayFolder="" measureGroup="tblHistory" count="0" oneField="1">
      <fieldsUsage count="1">
        <fieldUsage x="2"/>
      </fieldsUsage>
    </cacheHierarchy>
    <cacheHierarchy uniqueName="[Measures].[WorkloadPercentOvertimed]" caption="WorkloadPercentOvertimed" measure="1" displayFolder="" measureGroup="tblHistory" count="0" oneField="1">
      <fieldsUsage count="1">
        <fieldUsage x="3"/>
      </fieldsUsage>
    </cacheHierarchy>
    <cacheHierarchy uniqueName="[Measures].[PremShiftBelow75]" caption="PremShiftBelow75" measure="1" displayFolder="" measureGroup="tblHistory" count="0"/>
    <cacheHierarchy uniqueName="[Measures].[PremShiftOver75]" caption="PremShiftOver75" measure="1" displayFolder="" measureGroup="tblHistory" count="0"/>
    <cacheHierarchy uniqueName="[Measures].[__XL_Count tblHistory]" caption="__XL_Count tblHistory" measure="1" displayFolder="" measureGroup="tblHistory" count="0" hidden="1"/>
    <cacheHierarchy uniqueName="[Measures].[__No measures defined]" caption="__No measures defined" measure="1" displayFolder="" count="0" hidden="1"/>
  </cacheHierarchies>
  <kpis count="0"/>
  <dimensions count="2">
    <dimension measure="1" name="Measures" uniqueName="[Measures]" caption="Measures"/>
    <dimension name="tblHistory" uniqueName="[tblHistory]" caption="tblHistory"/>
  </dimensions>
  <measureGroups count="1">
    <measureGroup name="tblHistory" caption="tblHistory"/>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FunWithExcel" refreshedDate="46120.645859490738" backgroundQuery="1" createdVersion="3" refreshedVersion="7" minRefreshableVersion="3" recordCount="0" supportSubquery="1" supportAdvancedDrill="1" xr:uid="{BDDA45CE-DD1F-4B05-AE09-305116CCF008}">
  <cacheSource type="external" connectionId="2">
    <extLst>
      <ext xmlns:x14="http://schemas.microsoft.com/office/spreadsheetml/2009/9/main" uri="{F057638F-6D5F-4e77-A914-E7F072B9BCA8}">
        <x14:sourceConnection name="ThisWorkbookDataModel"/>
      </ext>
    </extLst>
  </cacheSource>
  <cacheFields count="0"/>
  <cacheHierarchies count="36">
    <cacheHierarchy uniqueName="[tblHistory].[StaffName]" caption="StaffName" attribute="1" defaultMemberUniqueName="[tblHistory].[StaffName].[All]" allUniqueName="[tblHistory].[StaffName].[All]" dimensionUniqueName="[tblHistory]" displayFolder="" count="2" memberValueDatatype="130" unbalanced="0"/>
    <cacheHierarchy uniqueName="[tblHistory].[Role]" caption="Role" attribute="1" defaultMemberUniqueName="[tblHistory].[Role].[All]" allUniqueName="[tblHistory].[Role].[All]" dimensionUniqueName="[tblHistory]" displayFolder="" count="0" memberValueDatatype="130" unbalanced="0"/>
    <cacheHierarchy uniqueName="[tblHistory].[RoleCategory]" caption="RoleCategory" attribute="1" defaultMemberUniqueName="[tblHistory].[RoleCategory].[All]" allUniqueName="[tblHistory].[RoleCategory].[All]" dimensionUniqueName="[tblHistory]" displayFolder="" count="2" memberValueDatatype="130" unbalanced="0"/>
    <cacheHierarchy uniqueName="[tblHistory].[FullPart]" caption="FullPart" attribute="1" defaultMemberUniqueName="[tblHistory].[FullPart].[All]" allUniqueName="[tblHistory].[FullPart].[All]" dimensionUniqueName="[tblHistory]" displayFolder="" count="2" memberValueDatatype="130" unbalanced="0"/>
    <cacheHierarchy uniqueName="[tblHistory].[HourlyRate]" caption="HourlyRate" attribute="1" defaultMemberUniqueName="[tblHistory].[HourlyRate].[All]" allUniqueName="[tblHistory].[HourlyRate].[All]" dimensionUniqueName="[tblHistory]" displayFolder="" count="0" memberValueDatatype="20" unbalanced="0"/>
    <cacheHierarchy uniqueName="[tblHistory].[MaxHour]" caption="MaxHour" attribute="1" defaultMemberUniqueName="[tblHistory].[MaxHour].[All]" allUniqueName="[tblHistory].[MaxHour].[All]" dimensionUniqueName="[tblHistory]" displayFolder="" count="0" memberValueDatatype="20" unbalanced="0"/>
    <cacheHierarchy uniqueName="[tblHistory].[WeekDay]" caption="WeekDay" attribute="1" defaultMemberUniqueName="[tblHistory].[WeekDay].[All]" allUniqueName="[tblHistory].[WeekDay].[All]" dimensionUniqueName="[tblHistory]" displayFolder="" count="0" memberValueDatatype="130" unbalanced="0"/>
    <cacheHierarchy uniqueName="[tblHistory].[ShiftCode]" caption="ShiftCode" attribute="1" defaultMemberUniqueName="[tblHistory].[ShiftCode].[All]" allUniqueName="[tblHistory].[ShiftCode].[All]" dimensionUniqueName="[tblHistory]" displayFolder="" count="0" memberValueDatatype="130" unbalanced="0"/>
    <cacheHierarchy uniqueName="[tblHistory].[Date]" caption="Date" attribute="1" time="1" defaultMemberUniqueName="[tblHistory].[Date].[All]" allUniqueName="[tblHistory].[Date].[All]" dimensionUniqueName="[tblHistory]" displayFolder="" count="0" memberValueDatatype="7" unbalanced="0"/>
    <cacheHierarchy uniqueName="[tblHistory].[IsWeekend]" caption="IsWeekend" attribute="1" defaultMemberUniqueName="[tblHistory].[IsWeekend].[All]" allUniqueName="[tblHistory].[IsWeekend].[All]" dimensionUniqueName="[tblHistory]" displayFolder="" count="0" memberValueDatatype="130" unbalanced="0"/>
    <cacheHierarchy uniqueName="[tblHistory].[IsHoliday]" caption="IsHoliday" attribute="1" defaultMemberUniqueName="[tblHistory].[IsHoliday].[All]" allUniqueName="[tblHistory].[IsHoliday].[All]" dimensionUniqueName="[tblHistory]" displayFolder="" count="0" memberValueDatatype="130" unbalanced="0"/>
    <cacheHierarchy uniqueName="[tblHistory].[HolidayOrWeekend]" caption="HolidayOrWeekend" attribute="1" defaultMemberUniqueName="[tblHistory].[HolidayOrWeekend].[All]" allUniqueName="[tblHistory].[HolidayOrWeekend].[All]" dimensionUniqueName="[tblHistory]" displayFolder="" count="0" memberValueDatatype="130" unbalanced="0"/>
    <cacheHierarchy uniqueName="[tblHistory].[WorkingHour]" caption="WorkingHour" attribute="1" defaultMemberUniqueName="[tblHistory].[WorkingHour].[All]" allUniqueName="[tblHistory].[WorkingHour].[All]" dimensionUniqueName="[tblHistory]" displayFolder="" count="0" memberValueDatatype="5" unbalanced="0"/>
    <cacheHierarchy uniqueName="[tblHistory].[Wage]" caption="Wage" attribute="1" defaultMemberUniqueName="[tblHistory].[Wage].[All]" allUniqueName="[tblHistory].[Wage].[All]" dimensionUniqueName="[tblHistory]" displayFolder="" count="0" memberValueDatatype="5" unbalanced="0"/>
    <cacheHierarchy uniqueName="[tblHistory].[MaxHourPerDay]" caption="MaxHourPerDay" attribute="1" defaultMemberUniqueName="[tblHistory].[MaxHourPerDay].[All]" allUniqueName="[tblHistory].[MaxHourPerDay].[All]" dimensionUniqueName="[tblHistory]" displayFolder="" count="0" memberValueDatatype="5" unbalanced="0"/>
    <cacheHierarchy uniqueName="[tblHistory].[PremiumShift]" caption="PremiumShift" attribute="1" defaultMemberUniqueName="[tblHistory].[PremiumShift].[All]" allUniqueName="[tblHistory].[PremiumShift].[All]" dimensionUniqueName="[tblHistory]" displayFolder="" count="0" memberValueDatatype="20" unbalanced="0"/>
    <cacheHierarchy uniqueName="[tblHistory].[Date (Year)]" caption="Date (Year)" attribute="1" defaultMemberUniqueName="[tblHistory].[Date (Year)].[All]" allUniqueName="[tblHistory].[Date (Year)].[All]" dimensionUniqueName="[tblHistory]" displayFolder="" count="0" memberValueDatatype="130" unbalanced="0"/>
    <cacheHierarchy uniqueName="[tblHistory].[Date (Quarter)]" caption="Date (Quarter)" attribute="1" defaultMemberUniqueName="[tblHistory].[Date (Quarter)].[All]" allUniqueName="[tblHistory].[Date (Quarter)].[All]" dimensionUniqueName="[tblHistory]" displayFolder="" count="0" memberValueDatatype="130" unbalanced="0"/>
    <cacheHierarchy uniqueName="[tblHistory].[Date (Month)]" caption="Date (Month)" attribute="1" defaultMemberUniqueName="[tblHistory].[Date (Month)].[All]" allUniqueName="[tblHistory].[Date (Month)].[All]" dimensionUniqueName="[tblHistory]" displayFolder="" count="0" memberValueDatatype="130" unbalanced="0"/>
    <cacheHierarchy uniqueName="[tblHistory].[Date (Month Index)]" caption="Date (Month Index)" attribute="1" defaultMemberUniqueName="[tblHistory].[Date (Month Index)].[All]" allUniqueName="[tblHistory].[Date (Month Index)].[All]" dimensionUniqueName="[tblHistory]" displayFolder="" count="0" memberValueDatatype="20" unbalanced="0" hidden="1"/>
    <cacheHierarchy uniqueName="[Measures].[Sum of PremiumShift]" caption="Sum of PremiumShift" measure="1" displayFolder="" measureGroup="tblHistory" count="0">
      <extLst>
        <ext xmlns:x15="http://schemas.microsoft.com/office/spreadsheetml/2010/11/main" uri="{B97F6D7D-B522-45F9-BDA1-12C45D357490}">
          <x15:cacheHierarchy aggregatedColumn="15"/>
        </ext>
      </extLst>
    </cacheHierarchy>
    <cacheHierarchy uniqueName="[Measures].[Count of StaffName]" caption="Count of StaffName" measure="1" displayFolder="" measureGroup="tblHistory" count="0">
      <extLst>
        <ext xmlns:x15="http://schemas.microsoft.com/office/spreadsheetml/2010/11/main" uri="{B97F6D7D-B522-45F9-BDA1-12C45D357490}">
          <x15:cacheHierarchy aggregatedColumn="0"/>
        </ext>
      </extLst>
    </cacheHierarchy>
    <cacheHierarchy uniqueName="[Measures].[Distinct Count of StaffName]" caption="Distinct Count of StaffName" measure="1" displayFolder="" measureGroup="tblHistory" count="0">
      <extLst>
        <ext xmlns:x15="http://schemas.microsoft.com/office/spreadsheetml/2010/11/main" uri="{B97F6D7D-B522-45F9-BDA1-12C45D357490}">
          <x15:cacheHierarchy aggregatedColumn="0"/>
        </ext>
      </extLst>
    </cacheHierarchy>
    <cacheHierarchy uniqueName="[Measures].[Sum of WorkingHour]" caption="Sum of WorkingHour" measure="1" displayFolder="" measureGroup="tblHistory" count="0">
      <extLst>
        <ext xmlns:x15="http://schemas.microsoft.com/office/spreadsheetml/2010/11/main" uri="{B97F6D7D-B522-45F9-BDA1-12C45D357490}">
          <x15:cacheHierarchy aggregatedColumn="12"/>
        </ext>
      </extLst>
    </cacheHierarchy>
    <cacheHierarchy uniqueName="[Measures].[Sum of Wage]" caption="Sum of Wage" measure="1" displayFolder="" measureGroup="tblHistory" count="0">
      <extLst>
        <ext xmlns:x15="http://schemas.microsoft.com/office/spreadsheetml/2010/11/main" uri="{B97F6D7D-B522-45F9-BDA1-12C45D357490}">
          <x15:cacheHierarchy aggregatedColumn="13"/>
        </ext>
      </extLst>
    </cacheHierarchy>
    <cacheHierarchy uniqueName="[Measures].[Sum of MaxHourPerDay]" caption="Sum of MaxHourPerDay" measure="1" displayFolder="" measureGroup="tblHistory" count="0">
      <extLst>
        <ext xmlns:x15="http://schemas.microsoft.com/office/spreadsheetml/2010/11/main" uri="{B97F6D7D-B522-45F9-BDA1-12C45D357490}">
          <x15:cacheHierarchy aggregatedColumn="14"/>
        </ext>
      </extLst>
    </cacheHierarchy>
    <cacheHierarchy uniqueName="[Measures].[HolidayWeekendCount]" caption="HolidayWeekendCount" measure="1" displayFolder="" measureGroup="tblHistory" count="0"/>
    <cacheHierarchy uniqueName="[Measures].[AvgWagePerHour]" caption="AvgWagePerHour" measure="1" displayFolder="" measureGroup="tblHistory" count="0"/>
    <cacheHierarchy uniqueName="[Measures].[SafeHour]" caption="SafeHour" measure="1" displayFolder="" measureGroup="tblHistory" count="0"/>
    <cacheHierarchy uniqueName="[Measures].[OvertimedHour]" caption="OvertimedHour" measure="1" displayFolder="" measureGroup="tblHistory" count="0"/>
    <cacheHierarchy uniqueName="[Measures].[WorkloadPercentSafe]" caption="WorkloadPercentSafe" measure="1" displayFolder="" measureGroup="tblHistory" count="0"/>
    <cacheHierarchy uniqueName="[Measures].[WorkloadPercentOvertimed]" caption="WorkloadPercentOvertimed" measure="1" displayFolder="" measureGroup="tblHistory" count="0"/>
    <cacheHierarchy uniqueName="[Measures].[PremShiftBelow75]" caption="PremShiftBelow75" measure="1" displayFolder="" measureGroup="tblHistory" count="0"/>
    <cacheHierarchy uniqueName="[Measures].[PremShiftOver75]" caption="PremShiftOver75" measure="1" displayFolder="" measureGroup="tblHistory" count="0"/>
    <cacheHierarchy uniqueName="[Measures].[__XL_Count tblHistory]" caption="__XL_Count tblHistory" measure="1" displayFolder="" measureGroup="tblHistor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6406453"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FunWithExcel" refreshedDate="46120.646014583333" backgroundQuery="1" createdVersion="3" refreshedVersion="7" minRefreshableVersion="3" recordCount="0" supportSubquery="1" supportAdvancedDrill="1" xr:uid="{56B7D000-6234-4A32-B469-6592D3EA5B1A}">
  <cacheSource type="external" connectionId="2">
    <extLst>
      <ext xmlns:x14="http://schemas.microsoft.com/office/spreadsheetml/2009/9/main" uri="{F057638F-6D5F-4e77-A914-E7F072B9BCA8}">
        <x14:sourceConnection name="ThisWorkbookDataModel"/>
      </ext>
    </extLst>
  </cacheSource>
  <cacheFields count="0"/>
  <cacheHierarchies count="36">
    <cacheHierarchy uniqueName="[tblHistory].[StaffName]" caption="StaffName" attribute="1" defaultMemberUniqueName="[tblHistory].[StaffName].[All]" allUniqueName="[tblHistory].[StaffName].[All]" dimensionUniqueName="[tblHistory]" displayFolder="" count="0" memberValueDatatype="130" unbalanced="0"/>
    <cacheHierarchy uniqueName="[tblHistory].[Role]" caption="Role" attribute="1" defaultMemberUniqueName="[tblHistory].[Role].[All]" allUniqueName="[tblHistory].[Role].[All]" dimensionUniqueName="[tblHistory]" displayFolder="" count="0" memberValueDatatype="130" unbalanced="0"/>
    <cacheHierarchy uniqueName="[tblHistory].[RoleCategory]" caption="RoleCategory" attribute="1" defaultMemberUniqueName="[tblHistory].[RoleCategory].[All]" allUniqueName="[tblHistory].[RoleCategory].[All]" dimensionUniqueName="[tblHistory]" displayFolder="" count="0" memberValueDatatype="130" unbalanced="0"/>
    <cacheHierarchy uniqueName="[tblHistory].[FullPart]" caption="FullPart" attribute="1" defaultMemberUniqueName="[tblHistory].[FullPart].[All]" allUniqueName="[tblHistory].[FullPart].[All]" dimensionUniqueName="[tblHistory]" displayFolder="" count="0" memberValueDatatype="130" unbalanced="0"/>
    <cacheHierarchy uniqueName="[tblHistory].[HourlyRate]" caption="HourlyRate" attribute="1" defaultMemberUniqueName="[tblHistory].[HourlyRate].[All]" allUniqueName="[tblHistory].[HourlyRate].[All]" dimensionUniqueName="[tblHistory]" displayFolder="" count="0" memberValueDatatype="20" unbalanced="0"/>
    <cacheHierarchy uniqueName="[tblHistory].[MaxHour]" caption="MaxHour" attribute="1" defaultMemberUniqueName="[tblHistory].[MaxHour].[All]" allUniqueName="[tblHistory].[MaxHour].[All]" dimensionUniqueName="[tblHistory]" displayFolder="" count="0" memberValueDatatype="20" unbalanced="0"/>
    <cacheHierarchy uniqueName="[tblHistory].[WeekDay]" caption="WeekDay" attribute="1" defaultMemberUniqueName="[tblHistory].[WeekDay].[All]" allUniqueName="[tblHistory].[WeekDay].[All]" dimensionUniqueName="[tblHistory]" displayFolder="" count="0" memberValueDatatype="130" unbalanced="0"/>
    <cacheHierarchy uniqueName="[tblHistory].[ShiftCode]" caption="ShiftCode" attribute="1" defaultMemberUniqueName="[tblHistory].[ShiftCode].[All]" allUniqueName="[tblHistory].[ShiftCode].[All]" dimensionUniqueName="[tblHistory]" displayFolder="" count="0" memberValueDatatype="130" unbalanced="0"/>
    <cacheHierarchy uniqueName="[tblHistory].[Date]" caption="Date" attribute="1" time="1" defaultMemberUniqueName="[tblHistory].[Date].[All]" allUniqueName="[tblHistory].[Date].[All]" dimensionUniqueName="[tblHistory]" displayFolder="" count="2" memberValueDatatype="7" unbalanced="0"/>
    <cacheHierarchy uniqueName="[tblHistory].[IsWeekend]" caption="IsWeekend" attribute="1" defaultMemberUniqueName="[tblHistory].[IsWeekend].[All]" allUniqueName="[tblHistory].[IsWeekend].[All]" dimensionUniqueName="[tblHistory]" displayFolder="" count="0" memberValueDatatype="130" unbalanced="0"/>
    <cacheHierarchy uniqueName="[tblHistory].[IsHoliday]" caption="IsHoliday" attribute="1" defaultMemberUniqueName="[tblHistory].[IsHoliday].[All]" allUniqueName="[tblHistory].[IsHoliday].[All]" dimensionUniqueName="[tblHistory]" displayFolder="" count="0" memberValueDatatype="130" unbalanced="0"/>
    <cacheHierarchy uniqueName="[tblHistory].[HolidayOrWeekend]" caption="HolidayOrWeekend" attribute="1" defaultMemberUniqueName="[tblHistory].[HolidayOrWeekend].[All]" allUniqueName="[tblHistory].[HolidayOrWeekend].[All]" dimensionUniqueName="[tblHistory]" displayFolder="" count="0" memberValueDatatype="130" unbalanced="0"/>
    <cacheHierarchy uniqueName="[tblHistory].[WorkingHour]" caption="WorkingHour" attribute="1" defaultMemberUniqueName="[tblHistory].[WorkingHour].[All]" allUniqueName="[tblHistory].[WorkingHour].[All]" dimensionUniqueName="[tblHistory]" displayFolder="" count="0" memberValueDatatype="5" unbalanced="0"/>
    <cacheHierarchy uniqueName="[tblHistory].[Wage]" caption="Wage" attribute="1" defaultMemberUniqueName="[tblHistory].[Wage].[All]" allUniqueName="[tblHistory].[Wage].[All]" dimensionUniqueName="[tblHistory]" displayFolder="" count="0" memberValueDatatype="5" unbalanced="0"/>
    <cacheHierarchy uniqueName="[tblHistory].[MaxHourPerDay]" caption="MaxHourPerDay" attribute="1" defaultMemberUniqueName="[tblHistory].[MaxHourPerDay].[All]" allUniqueName="[tblHistory].[MaxHourPerDay].[All]" dimensionUniqueName="[tblHistory]" displayFolder="" count="0" memberValueDatatype="5" unbalanced="0"/>
    <cacheHierarchy uniqueName="[tblHistory].[PremiumShift]" caption="PremiumShift" attribute="1" defaultMemberUniqueName="[tblHistory].[PremiumShift].[All]" allUniqueName="[tblHistory].[PremiumShift].[All]" dimensionUniqueName="[tblHistory]" displayFolder="" count="0" memberValueDatatype="20" unbalanced="0"/>
    <cacheHierarchy uniqueName="[tblHistory].[Date (Year)]" caption="Date (Year)" attribute="1" defaultMemberUniqueName="[tblHistory].[Date (Year)].[All]" allUniqueName="[tblHistory].[Date (Year)].[All]" dimensionUniqueName="[tblHistory]" displayFolder="" count="0" memberValueDatatype="130" unbalanced="0"/>
    <cacheHierarchy uniqueName="[tblHistory].[Date (Quarter)]" caption="Date (Quarter)" attribute="1" defaultMemberUniqueName="[tblHistory].[Date (Quarter)].[All]" allUniqueName="[tblHistory].[Date (Quarter)].[All]" dimensionUniqueName="[tblHistory]" displayFolder="" count="0" memberValueDatatype="130" unbalanced="0"/>
    <cacheHierarchy uniqueName="[tblHistory].[Date (Month)]" caption="Date (Month)" attribute="1" defaultMemberUniqueName="[tblHistory].[Date (Month)].[All]" allUniqueName="[tblHistory].[Date (Month)].[All]" dimensionUniqueName="[tblHistory]" displayFolder="" count="0" memberValueDatatype="130" unbalanced="0"/>
    <cacheHierarchy uniqueName="[tblHistory].[Date (Month Index)]" caption="Date (Month Index)" attribute="1" defaultMemberUniqueName="[tblHistory].[Date (Month Index)].[All]" allUniqueName="[tblHistory].[Date (Month Index)].[All]" dimensionUniqueName="[tblHistory]" displayFolder="" count="0" memberValueDatatype="20" unbalanced="0" hidden="1"/>
    <cacheHierarchy uniqueName="[Measures].[Sum of PremiumShift]" caption="Sum of PremiumShift" measure="1" displayFolder="" measureGroup="tblHistory" count="0">
      <extLst>
        <ext xmlns:x15="http://schemas.microsoft.com/office/spreadsheetml/2010/11/main" uri="{B97F6D7D-B522-45F9-BDA1-12C45D357490}">
          <x15:cacheHierarchy aggregatedColumn="15"/>
        </ext>
      </extLst>
    </cacheHierarchy>
    <cacheHierarchy uniqueName="[Measures].[Count of StaffName]" caption="Count of StaffName" measure="1" displayFolder="" measureGroup="tblHistory" count="0">
      <extLst>
        <ext xmlns:x15="http://schemas.microsoft.com/office/spreadsheetml/2010/11/main" uri="{B97F6D7D-B522-45F9-BDA1-12C45D357490}">
          <x15:cacheHierarchy aggregatedColumn="0"/>
        </ext>
      </extLst>
    </cacheHierarchy>
    <cacheHierarchy uniqueName="[Measures].[Distinct Count of StaffName]" caption="Distinct Count of StaffName" measure="1" displayFolder="" measureGroup="tblHistory" count="0">
      <extLst>
        <ext xmlns:x15="http://schemas.microsoft.com/office/spreadsheetml/2010/11/main" uri="{B97F6D7D-B522-45F9-BDA1-12C45D357490}">
          <x15:cacheHierarchy aggregatedColumn="0"/>
        </ext>
      </extLst>
    </cacheHierarchy>
    <cacheHierarchy uniqueName="[Measures].[Sum of WorkingHour]" caption="Sum of WorkingHour" measure="1" displayFolder="" measureGroup="tblHistory" count="0">
      <extLst>
        <ext xmlns:x15="http://schemas.microsoft.com/office/spreadsheetml/2010/11/main" uri="{B97F6D7D-B522-45F9-BDA1-12C45D357490}">
          <x15:cacheHierarchy aggregatedColumn="12"/>
        </ext>
      </extLst>
    </cacheHierarchy>
    <cacheHierarchy uniqueName="[Measures].[Sum of Wage]" caption="Sum of Wage" measure="1" displayFolder="" measureGroup="tblHistory" count="0">
      <extLst>
        <ext xmlns:x15="http://schemas.microsoft.com/office/spreadsheetml/2010/11/main" uri="{B97F6D7D-B522-45F9-BDA1-12C45D357490}">
          <x15:cacheHierarchy aggregatedColumn="13"/>
        </ext>
      </extLst>
    </cacheHierarchy>
    <cacheHierarchy uniqueName="[Measures].[Sum of MaxHourPerDay]" caption="Sum of MaxHourPerDay" measure="1" displayFolder="" measureGroup="tblHistory" count="0">
      <extLst>
        <ext xmlns:x15="http://schemas.microsoft.com/office/spreadsheetml/2010/11/main" uri="{B97F6D7D-B522-45F9-BDA1-12C45D357490}">
          <x15:cacheHierarchy aggregatedColumn="14"/>
        </ext>
      </extLst>
    </cacheHierarchy>
    <cacheHierarchy uniqueName="[Measures].[HolidayWeekendCount]" caption="HolidayWeekendCount" measure="1" displayFolder="" measureGroup="tblHistory" count="0"/>
    <cacheHierarchy uniqueName="[Measures].[AvgWagePerHour]" caption="AvgWagePerHour" measure="1" displayFolder="" measureGroup="tblHistory" count="0"/>
    <cacheHierarchy uniqueName="[Measures].[SafeHour]" caption="SafeHour" measure="1" displayFolder="" measureGroup="tblHistory" count="0"/>
    <cacheHierarchy uniqueName="[Measures].[OvertimedHour]" caption="OvertimedHour" measure="1" displayFolder="" measureGroup="tblHistory" count="0"/>
    <cacheHierarchy uniqueName="[Measures].[WorkloadPercentSafe]" caption="WorkloadPercentSafe" measure="1" displayFolder="" measureGroup="tblHistory" count="0"/>
    <cacheHierarchy uniqueName="[Measures].[WorkloadPercentOvertimed]" caption="WorkloadPercentOvertimed" measure="1" displayFolder="" measureGroup="tblHistory" count="0"/>
    <cacheHierarchy uniqueName="[Measures].[PremShiftBelow75]" caption="PremShiftBelow75" measure="1" displayFolder="" measureGroup="tblHistory" count="0"/>
    <cacheHierarchy uniqueName="[Measures].[PremShiftOver75]" caption="PremShiftOver75" measure="1" displayFolder="" measureGroup="tblHistory" count="0"/>
    <cacheHierarchy uniqueName="[Measures].[__XL_Count tblHistory]" caption="__XL_Count tblHistory" measure="1" displayFolder="" measureGroup="tblHistor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pivotCacheId="83912429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4CF5D8-30FE-4EE7-BCD5-E05D2CB420C9}" name="PivotTable2" cacheId="0" applyNumberFormats="0" applyBorderFormats="0" applyFontFormats="0" applyPatternFormats="0" applyAlignmentFormats="0" applyWidthHeightFormats="1" dataCaption="Values" tag="c9be40da-26e7-4e14-9dd1-2da4cc682a0c" updatedVersion="7" minRefreshableVersion="3" useAutoFormatting="1" itemPrintTitles="1" createdVersion="7" indent="0" compact="0" compactData="0" multipleFieldFilters="0">
  <location ref="G17:J31" firstHeaderRow="0" firstDataRow="1" firstDataCol="2"/>
  <pivotFields count="4">
    <pivotField axis="axisRow" compact="0" allDrilled="1" outline="0" subtotalTop="0" showAll="0" dataSourceSort="1" defaultSubtotal="0">
      <items count="13">
        <item x="0" e="0"/>
        <item x="1" e="0"/>
        <item x="2" e="0"/>
        <item x="3" e="0"/>
        <item x="4" e="0"/>
        <item x="5" e="0"/>
        <item x="6" e="0"/>
        <item x="7" e="0"/>
        <item x="8" e="0"/>
        <item x="9" e="0"/>
        <item x="10" e="0"/>
        <item x="11" e="0"/>
        <item x="12" e="0"/>
      </items>
    </pivotField>
    <pivotField dataField="1" compact="0" outline="0" subtotalTop="0" showAll="0" defaultSubtotal="0"/>
    <pivotField axis="axisRow" compact="0" allDrilled="1" outline="0" subtotalTop="0" showAll="0" dataSourceSort="1" defaultSubtotal="0" defaultAttributeDrillState="1">
      <items count="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s>
    </pivotField>
    <pivotField dataField="1" compact="0" outline="0" subtotalTop="0" showAll="0" defaultSubtotal="0"/>
  </pivotFields>
  <rowFields count="2">
    <field x="0"/>
    <field x="2"/>
  </rowFields>
  <rowItems count="14">
    <i>
      <x/>
    </i>
    <i>
      <x v="1"/>
    </i>
    <i>
      <x v="2"/>
    </i>
    <i>
      <x v="3"/>
    </i>
    <i>
      <x v="4"/>
    </i>
    <i>
      <x v="5"/>
    </i>
    <i>
      <x v="6"/>
    </i>
    <i>
      <x v="7"/>
    </i>
    <i>
      <x v="8"/>
    </i>
    <i>
      <x v="9"/>
    </i>
    <i>
      <x v="10"/>
    </i>
    <i>
      <x v="11"/>
    </i>
    <i>
      <x v="12"/>
    </i>
    <i t="grand">
      <x/>
    </i>
  </rowItems>
  <colFields count="1">
    <field x="-2"/>
  </colFields>
  <colItems count="2">
    <i>
      <x/>
    </i>
    <i i="1">
      <x v="1"/>
    </i>
  </colItems>
  <dataFields count="2">
    <dataField name="Sum of PremiumShift" fld="1" baseField="0" baseItem="0"/>
    <dataField fld="3" subtotal="count" baseField="0" baseItem="0"/>
  </dataField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thisYear" evalOrder="-1" id="1">
      <autoFilter ref="A1">
        <filterColumn colId="0">
          <dynamicFilter type="thisYear" val="46023" maxVal="46388"/>
        </filterColumn>
      </autoFilter>
    </filter>
  </filters>
  <rowHierarchiesUsage count="2">
    <rowHierarchyUsage hierarchyUsage="0"/>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mployeeShiftManagement_Demo.xlsm!tblHistory">
        <x15:activeTabTopLevelEntity name="[tblHis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F74E498-C6AE-48A2-98A8-FA3EED1086F6}" name="pvPremiumShiftDistribution" cacheId="84" applyNumberFormats="0" applyBorderFormats="0" applyFontFormats="0" applyPatternFormats="0" applyAlignmentFormats="0" applyWidthHeightFormats="1" dataCaption="Values" tag="82e00e02-1cc9-4338-9945-4219a51c48d4" updatedVersion="7" minRefreshableVersion="5" subtotalHiddenItems="1" itemPrintTitles="1" createdVersion="7" indent="0" outline="1" outlineData="1" multipleFieldFilters="0" chartFormat="11" colHeaderCaption="Holiday or Weekend">
  <location ref="M44:P61" firstHeaderRow="0" firstDataRow="1" firstDataCol="1"/>
  <pivotFields count="5">
    <pivotField axis="axisRow" allDrilled="1" subtotalTop="0" showAll="0" dataSourceSort="1" defaultSubtotal="0" defaultAttributeDrillState="1">
      <items count="3">
        <item x="0"/>
        <item x="1"/>
        <item x="2"/>
      </items>
    </pivotField>
    <pivotField axis="axisRow" allDrilled="1" subtotalTop="0" showAll="0" dataSourceSort="1" defaultSubtotal="0" defaultAttributeDrillState="1">
      <items count="13">
        <item x="0"/>
        <item x="1"/>
        <item x="2"/>
        <item x="3"/>
        <item x="4"/>
        <item x="5"/>
        <item x="6"/>
        <item x="7"/>
        <item x="8"/>
        <item x="9"/>
        <item x="10"/>
        <item x="11"/>
        <item x="12"/>
      </items>
    </pivotField>
    <pivotField dataField="1" subtotalTop="0" showAll="0" defaultSubtotal="0"/>
    <pivotField dataField="1" subtotalTop="0" showAll="0" defaultSubtotal="0"/>
    <pivotField dataField="1" subtotalTop="0" showAll="0" defaultSubtotal="0"/>
  </pivotFields>
  <rowFields count="2">
    <field x="0"/>
    <field x="1"/>
  </rowFields>
  <rowItems count="17">
    <i>
      <x/>
    </i>
    <i r="1">
      <x/>
    </i>
    <i r="1">
      <x v="1"/>
    </i>
    <i r="1">
      <x v="2"/>
    </i>
    <i r="1">
      <x v="3"/>
    </i>
    <i>
      <x v="1"/>
    </i>
    <i r="1">
      <x v="4"/>
    </i>
    <i r="1">
      <x v="5"/>
    </i>
    <i r="1">
      <x v="6"/>
    </i>
    <i>
      <x v="2"/>
    </i>
    <i r="1">
      <x v="7"/>
    </i>
    <i r="1">
      <x v="8"/>
    </i>
    <i r="1">
      <x v="9"/>
    </i>
    <i r="1">
      <x v="10"/>
    </i>
    <i r="1">
      <x v="11"/>
    </i>
    <i r="1">
      <x v="12"/>
    </i>
    <i t="grand">
      <x/>
    </i>
  </rowItems>
  <colFields count="1">
    <field x="-2"/>
  </colFields>
  <colItems count="3">
    <i>
      <x/>
    </i>
    <i i="1">
      <x v="1"/>
    </i>
    <i i="2">
      <x v="2"/>
    </i>
  </colItems>
  <dataFields count="3">
    <dataField name="Total Premium Shift" fld="2" subtotal="count" baseField="0" baseItem="0"/>
    <dataField name="Moderate" fld="3" subtotal="count" baseField="0" baseItem="0"/>
    <dataField name="Frequent" fld="4" subtotal="count" baseField="0" baseItem="0"/>
  </dataFields>
  <chartFormats count="3">
    <chartFormat chart="8" format="6" series="1">
      <pivotArea type="data" outline="0" fieldPosition="0">
        <references count="1">
          <reference field="4294967294" count="1" selected="0">
            <x v="1"/>
          </reference>
        </references>
      </pivotArea>
    </chartFormat>
    <chartFormat chart="8" format="7" series="1">
      <pivotArea type="data" outline="0" fieldPosition="0">
        <references count="1">
          <reference field="4294967294" count="1" selected="0">
            <x v="2"/>
          </reference>
        </references>
      </pivotArea>
    </chartFormat>
    <chartFormat chart="8" format="8" series="1">
      <pivotArea type="data" outline="0" fieldPosition="0">
        <references count="1">
          <reference field="4294967294" count="1" selected="0">
            <x v="0"/>
          </reference>
        </references>
      </pivotArea>
    </chartFormat>
  </chartFormats>
  <pivotHierarchies count="36">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 Premium Shif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Moderate"/>
    <pivotHierarchy dragToRow="0" dragToCol="0" dragToPage="0" dragToData="1" caption="Frequent"/>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2"/>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mployeeShiftManagement_Demo.xlsm!tblHistory">
        <x15:activeTabTopLevelEntity name="[tblHis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9135DA8-33EC-45A5-9256-6179D449764A}" name="pvWorkloadPercentage" cacheId="93" applyNumberFormats="0" applyBorderFormats="0" applyFontFormats="0" applyPatternFormats="0" applyAlignmentFormats="0" applyWidthHeightFormats="1" dataCaption="Values" tag="968790f0-66b8-485e-aa41-c06bc45702c2" updatedVersion="7" minRefreshableVersion="5" subtotalHiddenItems="1" itemPrintTitles="1" createdVersion="7" indent="0" outline="1" outlineData="1" multipleFieldFilters="0" chartFormat="13" colHeaderCaption="Holiday or Weekend">
  <location ref="H44:J61" firstHeaderRow="0" firstDataRow="1" firstDataCol="1"/>
  <pivotFields count="4">
    <pivotField axis="axisRow" allDrilled="1" subtotalTop="0" showAll="0" dataSourceSort="1" defaultSubtotal="0" defaultAttributeDrillState="1">
      <items count="3">
        <item x="0"/>
        <item x="1"/>
        <item x="2"/>
      </items>
    </pivotField>
    <pivotField axis="axisRow" allDrilled="1" subtotalTop="0" showAll="0" dataSourceSort="1" defaultSubtotal="0" defaultAttributeDrillState="1">
      <items count="13">
        <item x="0"/>
        <item x="1"/>
        <item x="2"/>
        <item x="3"/>
        <item x="4"/>
        <item x="5"/>
        <item x="6"/>
        <item x="7"/>
        <item x="8"/>
        <item x="9"/>
        <item x="10"/>
        <item x="11"/>
        <item x="12"/>
      </items>
    </pivotField>
    <pivotField dataField="1" subtotalTop="0" showAll="0" defaultSubtotal="0"/>
    <pivotField dataField="1" subtotalTop="0" showAll="0" defaultSubtotal="0"/>
  </pivotFields>
  <rowFields count="2">
    <field x="0"/>
    <field x="1"/>
  </rowFields>
  <rowItems count="17">
    <i>
      <x/>
    </i>
    <i r="1">
      <x/>
    </i>
    <i r="1">
      <x v="1"/>
    </i>
    <i r="1">
      <x v="2"/>
    </i>
    <i r="1">
      <x v="3"/>
    </i>
    <i>
      <x v="1"/>
    </i>
    <i r="1">
      <x v="4"/>
    </i>
    <i r="1">
      <x v="5"/>
    </i>
    <i r="1">
      <x v="6"/>
    </i>
    <i>
      <x v="2"/>
    </i>
    <i r="1">
      <x v="7"/>
    </i>
    <i r="1">
      <x v="8"/>
    </i>
    <i r="1">
      <x v="9"/>
    </i>
    <i r="1">
      <x v="10"/>
    </i>
    <i r="1">
      <x v="11"/>
    </i>
    <i r="1">
      <x v="12"/>
    </i>
    <i t="grand">
      <x/>
    </i>
  </rowItems>
  <colFields count="1">
    <field x="-2"/>
  </colFields>
  <colItems count="2">
    <i>
      <x/>
    </i>
    <i i="1">
      <x v="1"/>
    </i>
  </colItems>
  <dataFields count="2">
    <dataField fld="2" subtotal="count" baseField="1" baseItem="0" numFmtId="9"/>
    <dataField fld="3" subtotal="count" baseField="1" baseItem="0" numFmtId="9"/>
  </dataFields>
  <chartFormats count="2">
    <chartFormat chart="12" format="4"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1"/>
          </reference>
        </references>
      </pivotArea>
    </chartFormat>
  </chartFormats>
  <pivotHierarchies count="36">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2"/>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mployeeShiftManagement_Demo.xlsm!tblHistory">
        <x15:activeTabTopLevelEntity name="[tblHis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C97DDE9-D21E-4C95-8102-4C062578E7CF}" name="pvStaffHeadCountWageDistribution" cacheId="87" applyNumberFormats="0" applyBorderFormats="0" applyFontFormats="0" applyPatternFormats="0" applyAlignmentFormats="0" applyWidthHeightFormats="1" dataCaption="Values" tag="bf4e54e6-6c6b-48c8-8fd0-7f1399584c92" updatedVersion="7" minRefreshableVersion="5" subtotalHiddenItems="1" rowGrandTotals="0" colGrandTotals="0" itemPrintTitles="1" createdVersion="7" indent="0" outline="1" outlineData="1" multipleFieldFilters="0" chartFormat="6" colHeaderCaption="Holiday or Weekend">
  <location ref="H23:J26" firstHeaderRow="0" firstDataRow="1" firstDataCol="1"/>
  <pivotFields count="4">
    <pivotField allDrilled="1" subtotalTop="0" showAll="0" sortType="ascending" defaultSubtotal="0" defaultAttributeDrillState="1">
      <items count="7">
        <item x="1"/>
        <item x="5"/>
        <item x="6"/>
        <item x="4"/>
        <item x="0"/>
        <item x="2"/>
        <item x="3"/>
      </items>
    </pivotField>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s>
  <rowFields count="1">
    <field x="1"/>
  </rowFields>
  <rowItems count="3">
    <i>
      <x/>
    </i>
    <i>
      <x v="1"/>
    </i>
    <i>
      <x v="2"/>
    </i>
  </rowItems>
  <colFields count="1">
    <field x="-2"/>
  </colFields>
  <colItems count="2">
    <i>
      <x/>
    </i>
    <i i="1">
      <x v="1"/>
    </i>
  </colItems>
  <dataFields count="2">
    <dataField name="Sum of Wage" fld="2" showDataAs="percentOfCol" baseField="0" baseItem="0" numFmtId="9"/>
    <dataField name="Distinct Count of StaffName" fld="3" subtotal="count" baseField="0" baseItem="0" numFmtId="167">
      <extLst>
        <ext xmlns:x15="http://schemas.microsoft.com/office/spreadsheetml/2010/11/main" uri="{FABC7310-3BB5-11E1-824E-6D434824019B}">
          <x15:dataField isCountDistinct="1"/>
        </ext>
      </extLst>
    </dataField>
  </dataFields>
  <formats count="4">
    <format dxfId="3">
      <pivotArea outline="0" collapsedLevelsAreSubtotals="1" fieldPosition="0"/>
    </format>
    <format dxfId="2">
      <pivotArea outline="0" collapsedLevelsAreSubtotals="1" fieldPosition="0">
        <references count="1">
          <reference field="4294967294" count="1" selected="0">
            <x v="1"/>
          </reference>
        </references>
      </pivotArea>
    </format>
    <format dxfId="1">
      <pivotArea outline="0" fieldPosition="0">
        <references count="1">
          <reference field="4294967294" count="1">
            <x v="0"/>
          </reference>
        </references>
      </pivotArea>
    </format>
    <format dxfId="0">
      <pivotArea outline="0" collapsedLevelsAreSubtotals="1" fieldPosition="0">
        <references count="1">
          <reference field="4294967294" count="1" selected="0">
            <x v="0"/>
          </reference>
        </references>
      </pivotArea>
    </format>
  </formats>
  <chartFormats count="8">
    <chartFormat chart="5" format="10" series="1">
      <pivotArea type="data" outline="0" fieldPosition="0">
        <references count="1">
          <reference field="4294967294" count="1" selected="0">
            <x v="0"/>
          </reference>
        </references>
      </pivotArea>
    </chartFormat>
    <chartFormat chart="5" format="11">
      <pivotArea type="data" outline="0" fieldPosition="0">
        <references count="2">
          <reference field="4294967294" count="1" selected="0">
            <x v="0"/>
          </reference>
          <reference field="1" count="1" selected="0">
            <x v="0"/>
          </reference>
        </references>
      </pivotArea>
    </chartFormat>
    <chartFormat chart="5" format="12">
      <pivotArea type="data" outline="0" fieldPosition="0">
        <references count="2">
          <reference field="4294967294" count="1" selected="0">
            <x v="0"/>
          </reference>
          <reference field="1" count="1" selected="0">
            <x v="1"/>
          </reference>
        </references>
      </pivotArea>
    </chartFormat>
    <chartFormat chart="5" format="13">
      <pivotArea type="data" outline="0" fieldPosition="0">
        <references count="2">
          <reference field="4294967294" count="1" selected="0">
            <x v="0"/>
          </reference>
          <reference field="1"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pivotArea type="data" outline="0" fieldPosition="0">
        <references count="2">
          <reference field="4294967294" count="1" selected="0">
            <x v="1"/>
          </reference>
          <reference field="1" count="1" selected="0">
            <x v="0"/>
          </reference>
        </references>
      </pivotArea>
    </chartFormat>
    <chartFormat chart="5" format="16">
      <pivotArea type="data" outline="0" fieldPosition="0">
        <references count="2">
          <reference field="4294967294" count="1" selected="0">
            <x v="1"/>
          </reference>
          <reference field="1" count="1" selected="0">
            <x v="1"/>
          </reference>
        </references>
      </pivotArea>
    </chartFormat>
    <chartFormat chart="5" format="17">
      <pivotArea type="data" outline="0" fieldPosition="0">
        <references count="2">
          <reference field="4294967294" count="1" selected="0">
            <x v="1"/>
          </reference>
          <reference field="1" count="1" selected="0">
            <x v="2"/>
          </reference>
        </references>
      </pivotArea>
    </chartFormat>
  </chartFormats>
  <pivotHierarchies count="36">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mployeeShiftManagement_Demo.xlsm!tblHistory">
        <x15:activeTabTopLevelEntity name="[tblHis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6E647A-C267-4B66-B1B2-5FBAA4BE93D4}" name="pvDailyStaffingLevel" cacheId="78" dataOnRows="1" applyNumberFormats="0" applyBorderFormats="0" applyFontFormats="0" applyPatternFormats="0" applyAlignmentFormats="0" applyWidthHeightFormats="1" dataCaption="Values" tag="bceecc58-e2c1-4ee1-ad2c-48e9495b19ed" updatedVersion="7" minRefreshableVersion="5" subtotalHiddenItems="1" rowGrandTotals="0" colGrandTotals="0" itemPrintTitles="1" createdVersion="7" indent="0" outline="1" outlineData="1" multipleFieldFilters="0" chartFormat="3" colHeaderCaption="Holiday or Weekend">
  <location ref="B23:E31" firstHeaderRow="1" firstDataRow="2" firstDataCol="1"/>
  <pivotFields count="3">
    <pivotField axis="axisRow" allDrilled="1" subtotalTop="0" showAll="0" sortType="ascending" defaultSubtotal="0" defaultAttributeDrillState="1">
      <items count="7">
        <item x="1"/>
        <item x="5"/>
        <item x="6"/>
        <item x="4"/>
        <item x="0"/>
        <item x="2"/>
        <item x="3"/>
      </items>
    </pivotField>
    <pivotField axis="axisCol" allDrilled="1" subtotalTop="0" showAll="0" dataSourceSort="1" defaultSubtotal="0" defaultAttributeDrillState="1">
      <items count="3">
        <item x="0"/>
        <item x="1"/>
        <item x="2"/>
      </items>
    </pivotField>
    <pivotField dataField="1" subtotalTop="0" showAll="0" defaultSubtotal="0"/>
  </pivotFields>
  <rowFields count="1">
    <field x="0"/>
  </rowFields>
  <rowItems count="7">
    <i>
      <x/>
    </i>
    <i>
      <x v="1"/>
    </i>
    <i>
      <x v="2"/>
    </i>
    <i>
      <x v="3"/>
    </i>
    <i>
      <x v="4"/>
    </i>
    <i>
      <x v="5"/>
    </i>
    <i>
      <x v="6"/>
    </i>
  </rowItems>
  <colFields count="1">
    <field x="1"/>
  </colFields>
  <colItems count="3">
    <i>
      <x/>
    </i>
    <i>
      <x v="1"/>
    </i>
    <i>
      <x v="2"/>
    </i>
  </colItems>
  <dataFields count="1">
    <dataField name="Sum of WorkingHour" fld="2" showDataAs="percentOfRow" baseField="0" baseItem="0" numFmtId="9"/>
  </dataFields>
  <formats count="1">
    <format dxfId="4">
      <pivotArea outline="0" collapsedLevelsAreSubtotals="1" fieldPosition="0"/>
    </format>
  </formats>
  <chartFormats count="4">
    <chartFormat chart="2" format="6" series="1">
      <pivotArea type="data" outline="0" fieldPosition="0">
        <references count="2">
          <reference field="4294967294" count="1" selected="0">
            <x v="0"/>
          </reference>
          <reference field="1" count="1" selected="0">
            <x v="0"/>
          </reference>
        </references>
      </pivotArea>
    </chartFormat>
    <chartFormat chart="2" format="7" series="1">
      <pivotArea type="data" outline="0" fieldPosition="0">
        <references count="2">
          <reference field="4294967294" count="1" selected="0">
            <x v="0"/>
          </reference>
          <reference field="1" count="1" selected="0">
            <x v="1"/>
          </reference>
        </references>
      </pivotArea>
    </chartFormat>
    <chartFormat chart="2" format="8" series="1">
      <pivotArea type="data" outline="0" fieldPosition="0">
        <references count="2">
          <reference field="4294967294" count="1" selected="0">
            <x v="0"/>
          </reference>
          <reference field="1" count="1" selected="0">
            <x v="2"/>
          </reference>
        </references>
      </pivotArea>
    </chartFormat>
    <chartFormat chart="2" format="9" series="1">
      <pivotArea type="data" outline="0" fieldPosition="0">
        <references count="1">
          <reference field="4294967294" count="1" selected="0">
            <x v="0"/>
          </reference>
        </references>
      </pivotArea>
    </chartFormat>
  </chartFormats>
  <pivotHierarchies count="36">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mployeeShiftManagement_Demo.xlsm!tblHistory">
        <x15:activeTabTopLevelEntity name="[tblHis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1B93837-DA1E-4C3D-9F7C-1A996B6FF837}" name="pvKPINumbers" cacheId="75" dataOnRows="1" applyNumberFormats="0" applyBorderFormats="0" applyFontFormats="0" applyPatternFormats="0" applyAlignmentFormats="0" applyWidthHeightFormats="1" dataCaption="Values" tag="fe9df32f-57f1-4be9-bb53-b17b903c4cb7" updatedVersion="7" minRefreshableVersion="5" subtotalHiddenItems="1" itemPrintTitles="1" createdVersion="7" indent="0" outline="1" outlineData="1" multipleFieldFilters="0" colHeaderCaption="Holiday or Weekend">
  <location ref="B7:E11" firstHeaderRow="1" firstDataRow="2" firstDataCol="1"/>
  <pivotFields count="5">
    <pivotField dataField="1" subtotalTop="0" showAll="0" defaultSubtotal="0"/>
    <pivotField dataField="1" subtotalTop="0" showAll="0" defaultSubtotal="0"/>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2"/>
  </rowFields>
  <rowItems count="3">
    <i>
      <x/>
    </i>
    <i i="1">
      <x v="1"/>
    </i>
    <i i="2">
      <x v="2"/>
    </i>
  </rowItems>
  <colFields count="1">
    <field x="2"/>
  </colFields>
  <colItems count="3">
    <i>
      <x/>
    </i>
    <i>
      <x v="1"/>
    </i>
    <i t="grand">
      <x/>
    </i>
  </colItems>
  <dataFields count="3">
    <dataField name="Distinct Count of StaffName" fld="0" subtotal="count" baseField="0" baseItem="0">
      <extLst>
        <ext xmlns:x15="http://schemas.microsoft.com/office/spreadsheetml/2010/11/main" uri="{FABC7310-3BB5-11E1-824E-6D434824019B}">
          <x15:dataField isCountDistinct="1"/>
        </ext>
      </extLst>
    </dataField>
    <dataField name="Sum of Wage" fld="1" baseField="0" baseItem="0"/>
    <dataField fld="3" subtotal="count" baseField="0" baseItem="0"/>
  </dataFields>
  <formats count="1">
    <format dxfId="5">
      <pivotArea collapsedLevelsAreSubtotals="1" fieldPosition="0">
        <references count="1">
          <reference field="4294967294" count="2">
            <x v="1"/>
            <x v="2"/>
          </reference>
        </references>
      </pivotArea>
    </format>
  </formats>
  <pivotHierarchies count="36">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mployeeShiftManagement_Demo.xlsm!tblHistory">
        <x15:activeTabTopLevelEntity name="[tblHis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C5AF77B-C516-4559-8496-0458980A0FD7}" name="pvTotalWageByRoleCategory" cacheId="90" applyNumberFormats="0" applyBorderFormats="0" applyFontFormats="0" applyPatternFormats="0" applyAlignmentFormats="0" applyWidthHeightFormats="1" dataCaption="Values" tag="62700da4-bc73-4eb2-a049-9b9133dcabce" updatedVersion="7" minRefreshableVersion="5" subtotalHiddenItems="1" itemPrintTitles="1" createdVersion="7" indent="0" outline="1" outlineData="1" multipleFieldFilters="0" chartFormat="15" colHeaderCaption="Holiday or Weekend">
  <location ref="S44:W144" firstHeaderRow="1" firstDataRow="2" firstDataCol="1"/>
  <pivotFields count="4">
    <pivotField allDrilled="1" subtotalTop="0" showAll="0" sortType="ascending" defaultSubtotal="0" defaultAttributeDrillState="1">
      <items count="5">
        <item x="0"/>
        <item x="1"/>
        <item x="2"/>
        <item x="3"/>
        <item x="4"/>
      </items>
    </pivotField>
    <pivotField axis="axisRow" allDrilled="1" subtotalTop="0" showAll="0" dataSourceSort="1" defaultSubtotal="0" defaultAttributeDrillState="1">
      <items count="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s>
    </pivotField>
    <pivotField axis="axisCol" allDrilled="1" subtotalTop="0" showAll="0" dataSourceSort="1" defaultSubtotal="0" defaultAttributeDrillState="1">
      <items count="3">
        <item x="0"/>
        <item x="1"/>
        <item x="2"/>
      </items>
    </pivotField>
    <pivotField dataField="1" subtotalTop="0" showAll="0" defaultSubtotal="0"/>
  </pivotFields>
  <rowFields count="1">
    <field x="1"/>
  </rowFields>
  <rowItems count="9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t="grand">
      <x/>
    </i>
  </rowItems>
  <colFields count="1">
    <field x="2"/>
  </colFields>
  <colItems count="4">
    <i>
      <x/>
    </i>
    <i>
      <x v="1"/>
    </i>
    <i>
      <x v="2"/>
    </i>
    <i t="grand">
      <x/>
    </i>
  </colItems>
  <dataFields count="1">
    <dataField name="Sum of Wage" fld="3" baseField="0" baseItem="0"/>
  </dataFields>
  <chartFormats count="3">
    <chartFormat chart="14" format="12" series="1">
      <pivotArea type="data" outline="0" fieldPosition="0">
        <references count="2">
          <reference field="4294967294" count="1" selected="0">
            <x v="0"/>
          </reference>
          <reference field="2" count="1" selected="0">
            <x v="0"/>
          </reference>
        </references>
      </pivotArea>
    </chartFormat>
    <chartFormat chart="14" format="13" series="1">
      <pivotArea type="data" outline="0" fieldPosition="0">
        <references count="2">
          <reference field="4294967294" count="1" selected="0">
            <x v="0"/>
          </reference>
          <reference field="2" count="1" selected="0">
            <x v="1"/>
          </reference>
        </references>
      </pivotArea>
    </chartFormat>
    <chartFormat chart="14" format="14" series="1">
      <pivotArea type="data" outline="0" fieldPosition="0">
        <references count="2">
          <reference field="4294967294" count="1" selected="0">
            <x v="0"/>
          </reference>
          <reference field="2" count="1" selected="0">
            <x v="2"/>
          </reference>
        </references>
      </pivotArea>
    </chartFormat>
  </chartFormats>
  <pivotHierarchies count="36">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mployeeShiftManagement_Demo.xlsm!tblHistory">
        <x15:activeTabTopLevelEntity name="[tblHis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AE64050-FD89-48AA-9743-E33CE97345C5}" name="pvEmployeeWorkingHourVsContractHour" cacheId="81" applyNumberFormats="0" applyBorderFormats="0" applyFontFormats="0" applyPatternFormats="0" applyAlignmentFormats="0" applyWidthHeightFormats="1" dataCaption="Values" tag="1c906471-1aec-48d3-b53a-209c34f0c38e" updatedVersion="7" minRefreshableVersion="5" subtotalHiddenItems="1" itemPrintTitles="1" createdVersion="7" indent="0" outline="1" outlineData="1" multipleFieldFilters="0" chartFormat="6" colHeaderCaption="Holiday or Weekend">
  <location ref="B44:E61" firstHeaderRow="0" firstDataRow="1" firstDataCol="1"/>
  <pivotFields count="5">
    <pivotField axis="axisRow" allDrilled="1" subtotalTop="0" showAll="0" dataSourceSort="1" defaultSubtotal="0" defaultAttributeDrillState="1">
      <items count="3">
        <item x="0"/>
        <item x="1"/>
        <item x="2"/>
      </items>
    </pivotField>
    <pivotField axis="axisRow" allDrilled="1" subtotalTop="0" showAll="0" dataSourceSort="1" defaultSubtotal="0" defaultAttributeDrillState="1">
      <items count="13">
        <item x="0"/>
        <item x="1"/>
        <item x="2"/>
        <item x="3"/>
        <item x="4"/>
        <item x="5"/>
        <item x="6"/>
        <item x="7"/>
        <item x="8"/>
        <item x="9"/>
        <item x="10"/>
        <item x="11"/>
        <item x="12"/>
      </items>
    </pivotField>
    <pivotField dataField="1" subtotalTop="0" showAll="0" defaultSubtotal="0"/>
    <pivotField dataField="1" subtotalTop="0" showAll="0" defaultSubtotal="0"/>
    <pivotField dataField="1" subtotalTop="0" showAll="0" defaultSubtotal="0"/>
  </pivotFields>
  <rowFields count="2">
    <field x="0"/>
    <field x="1"/>
  </rowFields>
  <rowItems count="17">
    <i>
      <x/>
    </i>
    <i r="1">
      <x/>
    </i>
    <i r="1">
      <x v="1"/>
    </i>
    <i r="1">
      <x v="2"/>
    </i>
    <i r="1">
      <x v="3"/>
    </i>
    <i>
      <x v="1"/>
    </i>
    <i r="1">
      <x v="4"/>
    </i>
    <i r="1">
      <x v="5"/>
    </i>
    <i r="1">
      <x v="6"/>
    </i>
    <i>
      <x v="2"/>
    </i>
    <i r="1">
      <x v="7"/>
    </i>
    <i r="1">
      <x v="8"/>
    </i>
    <i r="1">
      <x v="9"/>
    </i>
    <i r="1">
      <x v="10"/>
    </i>
    <i r="1">
      <x v="11"/>
    </i>
    <i r="1">
      <x v="12"/>
    </i>
    <i t="grand">
      <x/>
    </i>
  </rowItems>
  <colFields count="1">
    <field x="-2"/>
  </colFields>
  <colItems count="3">
    <i>
      <x/>
    </i>
    <i i="1">
      <x v="1"/>
    </i>
    <i i="2">
      <x v="2"/>
    </i>
  </colItems>
  <dataFields count="3">
    <dataField name="MaxHour" fld="2" baseField="0" baseItem="0"/>
    <dataField fld="3" subtotal="count" baseField="0" baseItem="0"/>
    <dataField fld="4" subtotal="count" baseField="0" baseItem="0"/>
  </dataFields>
  <chartFormats count="3">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5" format="8" series="1">
      <pivotArea type="data" outline="0" fieldPosition="0">
        <references count="1">
          <reference field="4294967294" count="1" selected="0">
            <x v="0"/>
          </reference>
        </references>
      </pivotArea>
    </chartFormat>
  </chartFormats>
  <pivotHierarchies count="36">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axHour"/>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2"/>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mployeeShiftManagement_Demo.xlsm!tblHistory">
        <x15:activeTabTopLevelEntity name="[tblHistor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63207D6-ACA8-4BCE-9F64-374945B6730F}" autoFormatId="16" applyNumberFormats="0" applyBorderFormats="0" applyFontFormats="0" applyPatternFormats="0" applyAlignmentFormats="0" applyWidthHeightFormats="0">
  <queryTableRefresh nextId="17" unboundColumnsRight="8">
    <queryTableFields count="16">
      <queryTableField id="1" name="StaffName" tableColumnId="1"/>
      <queryTableField id="2" name="Role" tableColumnId="2"/>
      <queryTableField id="3" name="RoleCategory" tableColumnId="3"/>
      <queryTableField id="4" name="FullPart" tableColumnId="4"/>
      <queryTableField id="5" name="HourlyRate" tableColumnId="5"/>
      <queryTableField id="6" name="MaxHour" tableColumnId="6"/>
      <queryTableField id="7" name="WeekDay" tableColumnId="7"/>
      <queryTableField id="8" name="ShiftCode"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ffName" xr10:uid="{112DF6B8-6302-497C-9A64-5707EAAD60C6}" sourceName="[tblHistory].[StaffName]">
  <pivotTables>
    <pivotTable tabId="9" name="pvKPINumbers"/>
    <pivotTable tabId="9" name="pvDailyStaffingLevel"/>
    <pivotTable tabId="9" name="pvEmployeeWorkingHourVsContractHour"/>
    <pivotTable tabId="9" name="pvPremiumShiftDistribution"/>
    <pivotTable tabId="9" name="pvStaffHeadCountWageDistribution"/>
    <pivotTable tabId="9" name="pvTotalWageByRoleCategory"/>
    <pivotTable tabId="9" name="pvWorkloadPercentage"/>
  </pivotTables>
  <data>
    <olap pivotCacheId="26406453">
      <levels count="2">
        <level uniqueName="[tblHistory].[StaffName].[(All)]" sourceCaption="(All)" count="0"/>
        <level uniqueName="[tblHistory].[StaffName].[StaffName]" sourceCaption="StaffName" count="13">
          <ranges>
            <range startItem="0">
              <i n="[tblHistory].[StaffName].&amp;[Aaliyah Khan]" c="Aaliyah Khan"/>
              <i n="[tblHistory].[StaffName].&amp;[David South]" c="David South"/>
              <i n="[tblHistory].[StaffName].&amp;[Elena Rodriguez]" c="Elena Rodriguez"/>
              <i n="[tblHistory].[StaffName].&amp;[Glenn Silver]" c="Glenn Silver"/>
              <i n="[tblHistory].[StaffName].&amp;[Jenna Gold]" c="Jenna Gold"/>
              <i n="[tblHistory].[StaffName].&amp;[Jonh West]" c="Jonh West"/>
              <i n="[tblHistory].[StaffName].&amp;[Julian Chen]" c="Julian Chen"/>
              <i n="[tblHistory].[StaffName].&amp;[Leo Moretti]" c="Leo Moretti"/>
              <i n="[tblHistory].[StaffName].&amp;[Marcus Thompson]" c="Marcus Thompson"/>
              <i n="[tblHistory].[StaffName].&amp;[Max Titanium]" c="Max Titanium"/>
              <i n="[tblHistory].[StaffName].&amp;[Oliver East]" c="Oliver East"/>
              <i n="[tblHistory].[StaffName].&amp;[Sarah Jenkins]" c="Sarah Jenkins"/>
              <i n="[tblHistory].[StaffName].&amp;[Will North]" c="Will North"/>
            </range>
          </ranges>
        </level>
      </levels>
      <selections count="1">
        <selection n="[tblHistory].[Staff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leCategory1" xr10:uid="{C47EE6C4-FF53-4ED1-893B-13F7B8A4AD97}" sourceName="[tblHistory].[RoleCategory]">
  <pivotTables>
    <pivotTable tabId="9" name="pvKPINumbers"/>
    <pivotTable tabId="9" name="pvDailyStaffingLevel"/>
    <pivotTable tabId="9" name="pvEmployeeWorkingHourVsContractHour"/>
    <pivotTable tabId="9" name="pvPremiumShiftDistribution"/>
    <pivotTable tabId="9" name="pvStaffHeadCountWageDistribution"/>
    <pivotTable tabId="9" name="pvTotalWageByRoleCategory"/>
    <pivotTable tabId="9" name="pvWorkloadPercentage"/>
  </pivotTables>
  <data>
    <olap pivotCacheId="26406453">
      <levels count="2">
        <level uniqueName="[tblHistory].[RoleCategory].[(All)]" sourceCaption="(All)" count="0"/>
        <level uniqueName="[tblHistory].[RoleCategory].[RoleCategory]" sourceCaption="RoleCategory" count="3">
          <ranges>
            <range startItem="0">
              <i n="[tblHistory].[RoleCategory].&amp;[Chef]" c="Chef"/>
              <i n="[tblHistory].[RoleCategory].&amp;[Manager]" c="Manager"/>
              <i n="[tblHistory].[RoleCategory].&amp;[Server]" c="Server"/>
            </range>
          </ranges>
        </level>
      </levels>
      <selections count="1">
        <selection n="[tblHistory].[Role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llPart1" xr10:uid="{8548AFF7-C085-4BD3-B304-189100A4B14A}" sourceName="[tblHistory].[FullPart]">
  <pivotTables>
    <pivotTable tabId="9" name="pvKPINumbers"/>
    <pivotTable tabId="9" name="pvDailyStaffingLevel"/>
    <pivotTable tabId="9" name="pvEmployeeWorkingHourVsContractHour"/>
    <pivotTable tabId="9" name="pvPremiumShiftDistribution"/>
    <pivotTable tabId="9" name="pvStaffHeadCountWageDistribution"/>
    <pivotTable tabId="9" name="pvTotalWageByRoleCategory"/>
    <pivotTable tabId="9" name="pvWorkloadPercentage"/>
  </pivotTables>
  <data>
    <olap pivotCacheId="26406453">
      <levels count="2">
        <level uniqueName="[tblHistory].[FullPart].[(All)]" sourceCaption="(All)" count="0"/>
        <level uniqueName="[tblHistory].[FullPart].[FullPart]" sourceCaption="FullPart" count="2">
          <ranges>
            <range startItem="0">
              <i n="[tblHistory].[FullPart].&amp;[Full Time]" c="Full Time"/>
              <i n="[tblHistory].[FullPart].&amp;[Part Time]" c="Part Time"/>
            </range>
          </ranges>
        </level>
      </levels>
      <selections count="1">
        <selection n="[tblHistory].[FullPart].[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leCategory" xr10:uid="{CEE3D86E-B0A2-4F48-BEE7-E503482D7E0D}" sourceName="RoleCategory">
  <extLst>
    <x:ext xmlns:x15="http://schemas.microsoft.com/office/spreadsheetml/2010/11/main" uri="{2F2917AC-EB37-4324-AD4E-5DD8C200BD13}">
      <x15:tableSlicerCache tableId="3" column="1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llPart" xr10:uid="{08B13660-0D3E-43D5-A833-363B17FEDB6D}" sourceName="FullPart">
  <extLst>
    <x:ext xmlns:x15="http://schemas.microsoft.com/office/spreadsheetml/2010/11/main" uri="{2F2917AC-EB37-4324-AD4E-5DD8C200BD13}">
      <x15:tableSlicerCache tableId="3"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leCategory" xr10:uid="{10EA190A-A166-43EF-B498-06EC585D7A3F}" cache="Slicer_RoleCategory" caption="RoleCategory" columnCount="3" rowHeight="249238"/>
  <slicer name="FullPart" xr10:uid="{E21DF514-04AC-442D-A843-8F6B3BD7B471}" cache="Slicer_FullPart" caption="FullPart" columnCount="2" style="SlicerStyleLight6" rowHeight="249238"/>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ffName" xr10:uid="{2C095F4A-4D2B-4E43-BFB0-8503A42395DD}" cache="Slicer_StaffName" caption="StaffName" level="1" style="SlicerStyleLight2" rowHeight="249238"/>
  <slicer name="RoleCategory 1" xr10:uid="{B3C78298-7D54-417E-BE61-A9E0E451B3E3}" cache="Slicer_RoleCategory1" caption="RoleCategory" level="1" rowHeight="249238"/>
  <slicer name="FullPart 1" xr10:uid="{E6961D25-F4A2-4D29-81A6-7EE19434C63A}" cache="Slicer_FullPart1" caption="FullPart" level="1" style="SlicerStyleLight3" rowHeight="249238"/>
</slicers>
</file>

<file path=xl/tables/_rels/table1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42B7302-3FBF-40F1-883E-1D3FF8F42B80}" name="tblSchedule" displayName="tblSchedule" ref="A10:AM23" totalsRowShown="0">
  <autoFilter ref="A10:AM23" xr:uid="{D42B7302-3FBF-40F1-883E-1D3FF8F42B80}"/>
  <tableColumns count="39">
    <tableColumn id="1" xr3:uid="{DD5A6949-1D40-4CD5-8DA1-C9085363BCE6}" name="StaffName"/>
    <tableColumn id="2" xr3:uid="{0AF2E1AF-3EA2-4C1C-9273-0ED4D93F5836}" name="Role" dataDxfId="62">
      <calculatedColumnFormula array="1">IFERROR(INDEX(tblStaff[Role], MATCH(tblSchedule[[#This Row],[StaffName]:[StaffName]], tblStaff[[StaffName]:[StaffName]], 0)), "")</calculatedColumnFormula>
    </tableColumn>
    <tableColumn id="11" xr3:uid="{A18C504A-0D0B-46C8-B911-0A762F5F92EB}" name="RoleCategory" dataDxfId="61">
      <calculatedColumnFormula>IFERROR(INDEX(tblRefRole[RoleCategory], MATCH(tblSchedule[[#This Row],[Role]], tblRefRole[Role], 0)), "")</calculatedColumnFormula>
    </tableColumn>
    <tableColumn id="4" xr3:uid="{77E78329-C995-4724-AA1E-4C19F732BA94}" name="FullPart">
      <calculatedColumnFormula array="1">IFERROR(INDEX(tblStaff[FullPart], MATCH(tblSchedule[[#This Row],[StaffName]:[StaffName]], tblStaff[[StaffName]:[StaffName]], 0)), "")</calculatedColumnFormula>
    </tableColumn>
    <tableColumn id="5" xr3:uid="{86E97A5B-1132-4595-9C11-7DCBF5D5AD1C}" name="HourlyRate">
      <calculatedColumnFormula array="1">IFERROR(INDEX(tblStaff[HourlyRate], MATCH(tblSchedule[[#This Row],[StaffName]:[StaffName]], tblStaff[[StaffName]:[StaffName]], 0)), "")</calculatedColumnFormula>
    </tableColumn>
    <tableColumn id="6" xr3:uid="{6453A52E-2989-4F86-8E4A-26FFDF9DBF4A}" name="MaxHour">
      <calculatedColumnFormula array="1">IFERROR(INDEX(tblStaff[MaxHourWeek], MATCH(tblSchedule[[#This Row],[StaffName]:[StaffName]], tblStaff[[StaffName]:[StaffName]], 0)), "")</calculatedColumnFormula>
    </tableColumn>
    <tableColumn id="7" xr3:uid="{F641475F-D89D-41A3-B29B-197A3C7DD3BF}" name="TotalHour" dataDxfId="60">
      <calculatedColumnFormula>IFERROR(SUM(tblSchedule[[#This Row],[H_Mon]:[H_Sun]]), 0)</calculatedColumnFormula>
    </tableColumn>
    <tableColumn id="8" xr3:uid="{7AFD552F-3017-4ED2-BC32-0CE59E7CE68E}" name="PremiumShift" dataDxfId="59">
      <calculatedColumnFormula>_xlfn.CONCAT(IFERROR(GETPIVOTDATA("[Measures].[Sum of PremiumShift]",Setting!$G$17,"[tblHistory].[StaffName]","[tblHistory].[StaffName].&amp;[" &amp; tblSchedule[[#This Row],[StaffName]] &amp; "]"), 0), " / ", holiday_weekend_count)</calculatedColumnFormula>
    </tableColumn>
    <tableColumn id="9" xr3:uid="{FF6D8282-6BBC-4B16-BC94-6E618709683D}" name="PremShiftPercent" dataDxfId="58" dataCellStyle="Percent">
      <calculatedColumnFormula>IFERROR(GETPIVOTDATA("[Measures].[Sum of PremiumShift]",Setting!$G$17,"[tblHistory].[StaffName]","[tblHistory].[StaffName].&amp;["&amp; tblSchedule[[#This Row],[StaffName]]&amp;"]"), 0) / holiday_weekend_count</calculatedColumnFormula>
    </tableColumn>
    <tableColumn id="10" xr3:uid="{F84FA0C3-756A-473D-9566-52EF6E05DBBD}" name="TotalWage" dataCellStyle="Currency">
      <calculatedColumnFormula>SUM(tblSchedule[[#This Row],[WAGE_Mon]:[WAGE_Sun]])</calculatedColumnFormula>
    </tableColumn>
    <tableColumn id="18" xr3:uid="{ABFFDDBA-6024-4510-AF44-9D8ADDA475A0}" name="LW_Sun" dataDxfId="57"/>
    <tableColumn id="19" xr3:uid="{6CE6C56F-9CF2-4966-B6B3-A5E9E4CD1B35}" name="Mon"/>
    <tableColumn id="20" xr3:uid="{FBAB5852-81AF-4DB8-8942-31E07E742154}" name="Tue"/>
    <tableColumn id="21" xr3:uid="{3B30C0EF-8E1D-4BF8-A998-24AC9F95D608}" name="Wed"/>
    <tableColumn id="22" xr3:uid="{8FF607AA-DE74-4206-938D-568CABC433BF}" name="Thu"/>
    <tableColumn id="23" xr3:uid="{7443E732-070D-4612-A45D-7ECD7D98D378}" name="Fri"/>
    <tableColumn id="24" xr3:uid="{B2E95C5B-3EAF-4654-BD08-AC46B6A9782C}" name="Sat"/>
    <tableColumn id="25" xr3:uid="{56CC665B-A1D3-49AD-9225-74E9A0AA63F1}" name="Sun"/>
    <tableColumn id="3" xr3:uid="{7E14851A-414A-49C3-8B0A-FAF4D49D8FDD}" name="H_Mon" dataDxfId="56">
      <calculatedColumnFormula>INDEX(tblRefShift[[Hour]:[Hour]], MATCH(_xlfn.CONCAT(tblSchedule[[#This Row],[Role]:[Role]], "_", tblSchedule[[#This Row],[Mon]]), tblRefShift[[ShiftID]:[ShiftID]], 0))</calculatedColumnFormula>
    </tableColumn>
    <tableColumn id="12" xr3:uid="{B9D6F045-B641-4FD1-BEA0-764087014368}" name="H_Tue">
      <calculatedColumnFormula>INDEX(tblRefShift[[Hour]:[Hour]], MATCH(_xlfn.CONCAT(tblSchedule[[#This Row],[Role]:[Role]], "_", tblSchedule[[#This Row],[Tue]]), tblRefShift[[ShiftID]:[ShiftID]], 0))</calculatedColumnFormula>
    </tableColumn>
    <tableColumn id="13" xr3:uid="{4500ABF6-36DF-423A-BD60-F3D5479DCF17}" name="H_Wed">
      <calculatedColumnFormula>INDEX(tblRefShift[[Hour]:[Hour]], MATCH(_xlfn.CONCAT(tblSchedule[[#This Row],[Role]:[Role]], "_", tblSchedule[[#This Row],[Wed]]), tblRefShift[[ShiftID]:[ShiftID]], 0))</calculatedColumnFormula>
    </tableColumn>
    <tableColumn id="14" xr3:uid="{110417DB-AFE9-46A5-AA80-4CAFA25AEACD}" name="H_Thu">
      <calculatedColumnFormula>INDEX(tblRefShift[[Hour]:[Hour]], MATCH(_xlfn.CONCAT(tblSchedule[[#This Row],[Role]:[Role]], "_", tblSchedule[[#This Row],[Thu]]), tblRefShift[[ShiftID]:[ShiftID]], 0))</calculatedColumnFormula>
    </tableColumn>
    <tableColumn id="15" xr3:uid="{7D280823-B9B8-430B-A802-2045C5378052}" name="H_Fri">
      <calculatedColumnFormula>INDEX(tblRefShift[[Hour]:[Hour]], MATCH(_xlfn.CONCAT(tblSchedule[[#This Row],[Role]:[Role]], "_", tblSchedule[[#This Row],[Fri]]), tblRefShift[[ShiftID]:[ShiftID]], 0))</calculatedColumnFormula>
    </tableColumn>
    <tableColumn id="16" xr3:uid="{3970C230-E8C6-4595-BBCC-72F29841061E}" name="H_Sat">
      <calculatedColumnFormula>INDEX(tblRefShift[[Hour]:[Hour]], MATCH(_xlfn.CONCAT(tblSchedule[[#This Row],[Role]:[Role]], "_", tblSchedule[[#This Row],[Sat]]), tblRefShift[[ShiftID]:[ShiftID]], 0))</calculatedColumnFormula>
    </tableColumn>
    <tableColumn id="17" xr3:uid="{91812ED8-CB0D-4580-B1D9-3E918A0EED84}" name="H_Sun">
      <calculatedColumnFormula>INDEX(tblRefShift[[Hour]:[Hour]], MATCH(_xlfn.CONCAT(tblSchedule[[#This Row],[Role]:[Role]], "_", tblSchedule[[#This Row],[Sun]]), tblRefShift[[ShiftID]:[ShiftID]], 0))</calculatedColumnFormula>
    </tableColumn>
    <tableColumn id="26" xr3:uid="{6F548BDD-5264-44D3-803C-8BE5274E0DAB}" name="CLOPEN_Mon" dataDxfId="55">
      <calculatedColumnFormula>IF(AND(LEFT(tblSchedule[[#This Row],[LW_Sun]], 1)="E", LEFT(tblSchedule[[#This Row],[Mon]], 1)="M"), "CLOPEN", "OK")</calculatedColumnFormula>
    </tableColumn>
    <tableColumn id="27" xr3:uid="{5FF2ABED-C8A6-4200-B132-9A12A17B3DF1}" name="CLOPEN_Tue">
      <calculatedColumnFormula>IF(AND(LEFT(tblSchedule[[#This Row],[Mon]], 1)="E", LEFT(tblSchedule[[#This Row],[Tue]], 1)="M"), "CLOPEN", "OK")</calculatedColumnFormula>
    </tableColumn>
    <tableColumn id="28" xr3:uid="{4B34288D-6F64-4B79-BFCE-4E3FFC9C0395}" name="CLOPEN_Wed">
      <calculatedColumnFormula>IF(AND(LEFT(tblSchedule[[#This Row],[Tue]], 1)="E", LEFT(tblSchedule[[#This Row],[Wed]], 1)="M"), "CLOPEN", "OK")</calculatedColumnFormula>
    </tableColumn>
    <tableColumn id="29" xr3:uid="{6DCF2A6E-EC90-4223-911D-65C3EDD98202}" name="CLOPEN_Thu">
      <calculatedColumnFormula>IF(AND(LEFT(tblSchedule[[#This Row],[Wed]], 1)="E", LEFT(tblSchedule[[#This Row],[Thu]], 1)="M"), "CLOPEN", "OK")</calculatedColumnFormula>
    </tableColumn>
    <tableColumn id="30" xr3:uid="{B8F14F7E-EAB7-4172-B26C-796DF8632F0F}" name="CLOPEN_Fri">
      <calculatedColumnFormula>IF(AND(LEFT(tblSchedule[[#This Row],[Thu]], 1)="E", LEFT(tblSchedule[[#This Row],[Fri]], 1)="M"), "CLOPEN", "OK")</calculatedColumnFormula>
    </tableColumn>
    <tableColumn id="31" xr3:uid="{0B736D2B-B0EE-4B94-929C-4E76EBED3931}" name="CLOPEN_Sat">
      <calculatedColumnFormula>IF(AND(LEFT(tblSchedule[[#This Row],[Fri]], 1)="E", LEFT(tblSchedule[[#This Row],[Sat]], 1)="M"), "CLOPEN", "OK")</calculatedColumnFormula>
    </tableColumn>
    <tableColumn id="32" xr3:uid="{898C237B-86BB-43E3-9F8A-523441150C27}" name="CLOPEN_Sun">
      <calculatedColumnFormula>IF(AND(LEFT(tblSchedule[[#This Row],[Sat]], 1)="E", LEFT(tblSchedule[[#This Row],[Sun]], 1)="M"), "CLOPEN", "OK")</calculatedColumnFormula>
    </tableColumn>
    <tableColumn id="33" xr3:uid="{51396879-FBAA-4EB8-AF8A-F78C3008DA69}" name="WAGE_Mon" dataDxfId="54">
      <calculatedColumnFormula array="1">IF(NOT(ISERROR(MATCH(L$9, tblPublicHoliday[[HOLIDAY]:[HOLIDAY]], 0))), holiday_rate_multiplier,
IF(WEEKDAY(L$9,2)=6, sat_rate_multiplier,
IF(WEEKDAY(L$9,2)=7, sun_rate_multiplier, 1))) * tblSchedule[[#This Row],[H_Mon]] * tblSchedule[[#This Row],[HourlyRate]:[HourlyRate]]</calculatedColumnFormula>
    </tableColumn>
    <tableColumn id="34" xr3:uid="{1B4F6B4C-9934-4A11-B1F8-A1B79FE226D8}" name="WAGE_Tue">
      <calculatedColumnFormula array="1">IF(NOT(ISERROR(MATCH(M$9, tblPublicHoliday[[HOLIDAY]:[HOLIDAY]], 0))), holiday_rate_multiplier,
IF(WEEKDAY(M$9,2)=6, sat_rate_multiplier,
IF(WEEKDAY(M$9,2)=7, sun_rate_multiplier, 1))) * tblSchedule[[#This Row],[H_Tue]] * tblSchedule[[#This Row],[HourlyRate]:[HourlyRate]]</calculatedColumnFormula>
    </tableColumn>
    <tableColumn id="35" xr3:uid="{146B1CF5-4053-4BF5-98BD-17B36F1205E3}" name="WAGE_Wed">
      <calculatedColumnFormula array="1">IF(NOT(ISERROR(MATCH(N$9, tblPublicHoliday[[HOLIDAY]:[HOLIDAY]], 0))), holiday_rate_multiplier,
IF(WEEKDAY(N$9,2)=6, sat_rate_multiplier,
IF(WEEKDAY(N$9,2)=7, sun_rate_multiplier, 1))) * tblSchedule[[#This Row],[H_Wed]] * tblSchedule[[#This Row],[HourlyRate]:[HourlyRate]]</calculatedColumnFormula>
    </tableColumn>
    <tableColumn id="36" xr3:uid="{E0A1587A-7BEA-428C-9EF1-0BBFCFDCB046}" name="WAGE_Thu">
      <calculatedColumnFormula array="1">IF(NOT(ISERROR(MATCH(O$9, tblPublicHoliday[[HOLIDAY]:[HOLIDAY]], 0))), holiday_rate_multiplier,
IF(WEEKDAY(O$9,2)=6, sat_rate_multiplier,
IF(WEEKDAY(O$9,2)=7, sun_rate_multiplier, 1))) * tblSchedule[[#This Row],[H_Thu]] * tblSchedule[[#This Row],[HourlyRate]:[HourlyRate]]</calculatedColumnFormula>
    </tableColumn>
    <tableColumn id="37" xr3:uid="{45EF3A72-DE50-4F62-BDAE-2EAB98ACD934}" name="WAGE_Fri">
      <calculatedColumnFormula array="1">IF(NOT(ISERROR(MATCH(P$9, tblPublicHoliday[[HOLIDAY]:[HOLIDAY]], 0))), holiday_rate_multiplier,
IF(WEEKDAY(P$9,2)=6, sat_rate_multiplier,
IF(WEEKDAY(P$9,2)=7, sun_rate_multiplier, 1))) * tblSchedule[[#This Row],[H_Fri]] * tblSchedule[[#This Row],[HourlyRate]:[HourlyRate]]</calculatedColumnFormula>
    </tableColumn>
    <tableColumn id="38" xr3:uid="{E4877F82-F6C2-4729-9D0E-95BB59F835DC}" name="WAGE_Sat">
      <calculatedColumnFormula array="1">IF(NOT(ISERROR(MATCH(Q$9, tblPublicHoliday[[HOLIDAY]:[HOLIDAY]], 0))), holiday_rate_multiplier,
IF(WEEKDAY(Q$9,2)=6, sat_rate_multiplier,
IF(WEEKDAY(Q$9,2)=7, sun_rate_multiplier, 1))) * tblSchedule[[#This Row],[H_Sat]] * tblSchedule[[#This Row],[HourlyRate]:[HourlyRate]]</calculatedColumnFormula>
    </tableColumn>
    <tableColumn id="39" xr3:uid="{803CB7CC-E672-4E0C-81A8-B706EB6E079C}" name="WAGE_Sun">
      <calculatedColumnFormula array="1">IF(NOT(ISERROR(MATCH(R$9, tblPublicHoliday[[HOLIDAY]:[HOLIDAY]], 0))), holiday_rate_multiplier,
IF(WEEKDAY(R$9,2)=6, sat_rate_multiplier,
IF(WEEKDAY(R$9,2)=7, sun_rate_multiplier, 1))) * tblSchedule[[#This Row],[H_Sun]] * tblSchedule[[#This Row],[HourlyRate]:[HourlyRate]]</calculatedColumnFormula>
    </tableColumn>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4D3A3B2-FD17-4A59-8381-C1F35EEE0372}" name="tblStaff" displayName="tblStaff" ref="B6:F19" totalsRowShown="0">
  <autoFilter ref="B6:F19" xr:uid="{84D3A3B2-FD17-4A59-8381-C1F35EEE0372}"/>
  <tableColumns count="5">
    <tableColumn id="1" xr3:uid="{E814F6DD-85CD-48DC-8B40-1B43DC4AFC6A}" name="StaffName"/>
    <tableColumn id="2" xr3:uid="{5800F3A0-F250-4C96-AC92-FCD78189C53F}" name="Role"/>
    <tableColumn id="3" xr3:uid="{32564658-97A5-40F0-9FF2-63E5BEBE8091}" name="FullPart"/>
    <tableColumn id="4" xr3:uid="{CC84D9D4-4A9B-4A7C-AEB0-A1B6CE36EF58}" name="HourlyRate"/>
    <tableColumn id="5" xr3:uid="{F13B76FE-A931-4112-A212-0DE6FC509955}" name="MaxHourWeek"/>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A23391-CFF1-4C50-9A07-66B01E83ABCF}" name="tblRefRole" displayName="tblRefRole" ref="B5:C10" totalsRowShown="0">
  <autoFilter ref="B5:C10" xr:uid="{00A23391-CFF1-4C50-9A07-66B01E83ABCF}"/>
  <sortState xmlns:xlrd2="http://schemas.microsoft.com/office/spreadsheetml/2017/richdata2" ref="B6:C10">
    <sortCondition ref="C5:C10"/>
  </sortState>
  <tableColumns count="2">
    <tableColumn id="1" xr3:uid="{161C79C8-036A-466A-AD94-F3D634335A06}" name="Role"/>
    <tableColumn id="2" xr3:uid="{1CCA7B66-807F-448C-A5AC-CEDBD62BD428}" name="RoleCategory"/>
  </tableColumns>
  <tableStyleInfo name="TableStyleMedium2"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3BA5866-1915-4F33-9ACD-87800A95EB83}" name="tblRefShift" displayName="tblRefShift" ref="G5:M27" totalsRowShown="0" headerRowDxfId="53" headerRowBorderDxfId="52" tableBorderDxfId="51">
  <autoFilter ref="G5:M27" xr:uid="{13BA5866-1915-4F33-9ACD-87800A95EB83}"/>
  <tableColumns count="7">
    <tableColumn id="1" xr3:uid="{3FEDFD60-56E1-4978-8998-2EDDB20B24DF}" name="Role"/>
    <tableColumn id="2" xr3:uid="{2EDFB42B-FBD0-4EA7-B9B8-C6E6826B63CF}" name="ShiftCode"/>
    <tableColumn id="3" xr3:uid="{D7C7E91C-32AE-4F1A-866A-B16EB501C787}" name="ShiftType"/>
    <tableColumn id="4" xr3:uid="{99599DCF-5496-4073-8789-161770DC7BE8}" name="StartTime" dataDxfId="50"/>
    <tableColumn id="5" xr3:uid="{B5AD6D62-D18A-4A77-BF21-C32003AC16E9}" name="EndTime" dataDxfId="49"/>
    <tableColumn id="6" xr3:uid="{6E38F9AC-5202-46A4-9AD0-4EEFBCDEE5EF}" name="Hour" dataDxfId="48">
      <calculatedColumnFormula>IFERROR((tblRefShift[[#This Row],[EndTime]]-tblRefShift[[#This Row],[StartTime]])*24-1, 0)</calculatedColumnFormula>
    </tableColumn>
    <tableColumn id="7" xr3:uid="{16EE45EF-296B-4DCF-A2C3-677D43B81094}" name="ShiftID" dataDxfId="47">
      <calculatedColumnFormula>_xlfn.CONCAT(tblRefShift[[#This Row],[Role]], "_", tblRefShift[[#This Row],[ShiftCode]])</calculatedColumnFormula>
    </tableColumn>
  </tableColumns>
  <tableStyleInfo name="TableStyleMedium2"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9EBAFE-7E17-4D30-BCA7-A703E9D7794E}" name="tblRefStoreManagerShift" displayName="tblRefStoreManagerShift" ref="Q5:Q10" totalsRowShown="0">
  <autoFilter ref="Q5:Q10" xr:uid="{919EBAFE-7E17-4D30-BCA7-A703E9D7794E}"/>
  <tableColumns count="1">
    <tableColumn id="1" xr3:uid="{702A835F-6EC0-4D0D-9C68-9344BD833B99}" name="ShiftCode"/>
  </tableColumns>
  <tableStyleInfo name="TableStyleMedium2"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1653586-493C-49F6-B8D6-91AA5CACCF2A}" name="tblRefAssistantManagerShift" displayName="tblRefAssistantManagerShift" ref="U5:U10" totalsRowShown="0" headerRowDxfId="46" dataDxfId="44" headerRowBorderDxfId="45" tableBorderDxfId="43" totalsRowBorderDxfId="42">
  <autoFilter ref="U5:U10" xr:uid="{61653586-493C-49F6-B8D6-91AA5CACCF2A}"/>
  <tableColumns count="1">
    <tableColumn id="1" xr3:uid="{95BB04E9-EEC0-495F-9573-E7DEB5CA8A0D}" name="ShiftCode" dataDxfId="41"/>
  </tableColumns>
  <tableStyleInfo name="TableStyleMedium2"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CD03A89-6CD6-4BA7-B841-347932E22FEF}" name="tblRefChefShift" displayName="tblRefChefShift" ref="Y5:Y8" totalsRowShown="0" headerRowDxfId="40" dataDxfId="38" headerRowBorderDxfId="39" tableBorderDxfId="37" totalsRowBorderDxfId="36">
  <autoFilter ref="Y5:Y8" xr:uid="{2CD03A89-6CD6-4BA7-B841-347932E22FEF}"/>
  <tableColumns count="1">
    <tableColumn id="1" xr3:uid="{FB179BE2-0FF4-4567-BA3B-BB90FC105D90}" name="ShiftCode" dataDxfId="35"/>
  </tableColumns>
  <tableStyleInfo name="TableStyleMedium2"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B7E0162-C555-4071-A73C-CE77D1EF2C22}" name="tblRefAssistantChefShift" displayName="tblRefAssistantChefShift" ref="AC5:AC8" totalsRowShown="0" headerRowDxfId="34" dataDxfId="32" headerRowBorderDxfId="33" tableBorderDxfId="31" totalsRowBorderDxfId="30">
  <autoFilter ref="AC5:AC8" xr:uid="{AB7E0162-C555-4071-A73C-CE77D1EF2C22}"/>
  <tableColumns count="1">
    <tableColumn id="1" xr3:uid="{E2D108AB-3202-46A8-8FF9-0FABCB55AAA4}" name="ShiftCode" dataDxfId="29"/>
  </tableColumns>
  <tableStyleInfo name="TableStyleMedium2"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A35430E-4DA6-45E4-B4CC-B8A89EC049FB}" name="tblRefServerShift" displayName="tblRefServerShift" ref="AG5:AG11" totalsRowShown="0" headerRowDxfId="28" dataDxfId="26" headerRowBorderDxfId="27" tableBorderDxfId="25" totalsRowBorderDxfId="24">
  <autoFilter ref="AG5:AG11" xr:uid="{FA35430E-4DA6-45E4-B4CC-B8A89EC049FB}"/>
  <tableColumns count="1">
    <tableColumn id="1" xr3:uid="{1CEA6D2B-A108-463A-A612-65A23C0D2703}" name="ShiftCode" dataDxfId="23"/>
  </tableColumns>
  <tableStyleInfo name="TableStyleMedium2"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3D8498-2974-4870-8B28-FBF54063E725}" name="tblPublicHoliday" displayName="tblPublicHoliday" ref="B7:F28" totalsRowShown="0" headerRowDxfId="22">
  <autoFilter ref="B7:F28" xr:uid="{BCFAB0DA-4EAB-46CC-9833-8F33CF509B24}"/>
  <tableColumns count="5">
    <tableColumn id="1" xr3:uid="{86967DD5-013D-46C9-ABA4-0D9DC80059BC}" name="DAY"/>
    <tableColumn id="2" xr3:uid="{47DDC209-478B-4B94-83E6-4F1FBF9D03A1}" name="MONTH"/>
    <tableColumn id="3" xr3:uid="{A359A237-6754-4397-8B7C-E8B3B6B96F51}" name="YEAR"/>
    <tableColumn id="4" xr3:uid="{C021B58C-5734-4C3E-8630-D00F7F450E71}" name="HOLIDAY" dataDxfId="21">
      <calculatedColumnFormula>DATE(D8,C8,B8)</calculatedColumnFormula>
    </tableColumn>
    <tableColumn id="5" xr3:uid="{5E4F89C6-8A76-41D4-AC33-2BE42A3B3E8F}" name="HOLIDAY_NAME"/>
  </tableColumns>
  <tableStyleInfo name="TableStyleMedium2"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D317E23-63D0-4F61-ACE5-C4499F26DD04}" name="tblWeeklyData" displayName="tblWeeklyData" ref="A1:P92" tableType="queryTable" totalsRowShown="0">
  <autoFilter ref="A1:P92" xr:uid="{8D317E23-63D0-4F61-ACE5-C4499F26DD04}"/>
  <tableColumns count="16">
    <tableColumn id="1" xr3:uid="{541F754F-18BC-41FA-9D81-AED076DC67E1}" uniqueName="1" name="StaffName" queryTableFieldId="1" dataDxfId="20"/>
    <tableColumn id="2" xr3:uid="{F64D30BB-F102-49FF-AB5B-C615F43EAF26}" uniqueName="2" name="Role" queryTableFieldId="2" dataDxfId="19"/>
    <tableColumn id="3" xr3:uid="{0ACFA567-FE03-48C4-8215-77155C970792}" uniqueName="3" name="RoleCategory" queryTableFieldId="3" dataDxfId="18"/>
    <tableColumn id="4" xr3:uid="{E73D965E-3E7B-4D74-B478-1EEC311D34A4}" uniqueName="4" name="FullPart" queryTableFieldId="4" dataDxfId="17"/>
    <tableColumn id="5" xr3:uid="{5E85A38C-76A5-42A1-9D08-8F798DB57490}" uniqueName="5" name="HourlyRate" queryTableFieldId="5"/>
    <tableColumn id="6" xr3:uid="{A5F7820E-C5E8-4DE8-A239-C32BA6FBE98C}" uniqueName="6" name="MaxHour" queryTableFieldId="6"/>
    <tableColumn id="7" xr3:uid="{0F9827F9-ED08-433F-B5E4-789DCA8721BB}" uniqueName="7" name="WeekDay" queryTableFieldId="7" dataDxfId="16"/>
    <tableColumn id="8" xr3:uid="{BA3664AF-7115-43AD-8B18-CD22F2923DB6}" uniqueName="8" name="ShiftCode" queryTableFieldId="8" dataDxfId="15"/>
    <tableColumn id="9" xr3:uid="{F6E319F3-C127-4668-AF0E-B1B71745C754}" uniqueName="9" name="Date" queryTableFieldId="9" dataDxfId="14">
      <calculatedColumnFormula>INDEX(Schedule!$9:$9, MATCH(tblWeeklyData[[#This Row],[WeekDay]], tblSchedule[#Headers],0))</calculatedColumnFormula>
    </tableColumn>
    <tableColumn id="10" xr3:uid="{6B1678F7-E646-439F-BA8C-425CCC1287C5}" uniqueName="10" name="IsWeekend" queryTableFieldId="10" dataDxfId="13">
      <calculatedColumnFormula>IF(WEEKDAY(tblWeeklyData[[#This Row],[Date]], 2)&gt;=6, "YES", "NO")</calculatedColumnFormula>
    </tableColumn>
    <tableColumn id="11" xr3:uid="{86F84982-CB2A-4614-8299-74A7B43C7BDB}" uniqueName="11" name="IsHoliday" queryTableFieldId="11" dataDxfId="12">
      <calculatedColumnFormula>IF(NOT(ISERROR(MATCH(tblWeeklyData[[#This Row],[Date]], tblPublicHoliday[HOLIDAY], 0))), "YES", "NO")</calculatedColumnFormula>
    </tableColumn>
    <tableColumn id="12" xr3:uid="{DD51E8D2-03D5-4F4F-A9CF-8E946CF6CDD1}" uniqueName="12" name="HolidayOrWeekend" queryTableFieldId="12" dataDxfId="11">
      <calculatedColumnFormula>IF(OR(tblWeeklyData[[#This Row],[IsWeekend]]="YES", tblWeeklyData[[#This Row],[IsHoliday]]="YES"), "YES", "NO")</calculatedColumnFormula>
    </tableColumn>
    <tableColumn id="13" xr3:uid="{1E0D2FF7-0FFD-4EEC-9D67-FE793E2D2A8C}" uniqueName="13" name="WorkingHour" queryTableFieldId="13" dataDxfId="10">
      <calculatedColumnFormula>INDEX(tblRefShift[Hour], MATCH(_xlfn.CONCAT(tblWeeklyData[[#This Row],[Role]],"_", tblWeeklyData[[#This Row],[ShiftCode]]), tblRefShift[ShiftID], 0))</calculatedColumnFormula>
    </tableColumn>
    <tableColumn id="14" xr3:uid="{D96B15CE-6728-490E-A69C-CDF70F4582DC}" uniqueName="14" name="Wage" queryTableFieldId="14" dataDxfId="9">
      <calculatedColumnFormula>IF(tblWeeklyData[[#This Row],[IsHoliday]]="YES", holiday_rate_multiplier, IF(WEEKDAY(tblWeeklyData[[#This Row],[Date]], 2)=6, sat_rate_multiplier, IF(WEEKDAY(tblWeeklyData[[#This Row],[Date]], 2)=7, sun_rate_multiplier, 1))) * tblWeeklyData[[#This Row],[HourlyRate]]*tblWeeklyData[[#This Row],[WorkingHour]]</calculatedColumnFormula>
    </tableColumn>
    <tableColumn id="15" xr3:uid="{B252AE28-9882-4BF9-8B5F-170653CC77E2}" uniqueName="15" name="MaxHourPerDay" queryTableFieldId="15" dataDxfId="8">
      <calculatedColumnFormula>tblWeeklyData[[#This Row],[MaxHour]]/7</calculatedColumnFormula>
    </tableColumn>
    <tableColumn id="16" xr3:uid="{694A275E-28BC-4DE2-A2A2-623F73498ED3}" uniqueName="16" name="PremiumShift" queryTableFieldId="16" dataDxfId="7">
      <calculatedColumnFormula>IF(AND(tblWeeklyData[[#This Row],[HolidayOrWeekend]]="YES", tblWeeklyData[[#This Row],[WorkingHour]]&gt;0), 1, 0)</calculatedColumnFormula>
    </tableColumn>
  </tableColumns>
  <tableStyleInfo name="TableStyleMedium7"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2AD1EA7-278A-4298-AAE0-8EE062131A61}" name="tblHistory" displayName="tblHistory" ref="A1:P1366" totalsRowShown="0">
  <autoFilter ref="A1:P1366" xr:uid="{B2AD1EA7-278A-4298-AAE0-8EE062131A61}"/>
  <tableColumns count="16">
    <tableColumn id="1" xr3:uid="{861C40F3-D890-4991-9A65-D2595C05778B}" name="StaffName"/>
    <tableColumn id="2" xr3:uid="{B34E7E47-25D5-482C-9238-3F9F8AF81DD5}" name="Role"/>
    <tableColumn id="3" xr3:uid="{CA988AC9-2C4E-4D05-A611-16851E732123}" name="RoleCategory"/>
    <tableColumn id="4" xr3:uid="{DF3F1E8B-7074-4434-BE46-B5795A53082E}" name="FullPart"/>
    <tableColumn id="5" xr3:uid="{D1CC6C39-25B2-4A62-B6B2-FD66A13F9A54}" name="HourlyRate"/>
    <tableColumn id="6" xr3:uid="{16F8D5CB-22EA-4817-A810-0A7968719A70}" name="MaxHour"/>
    <tableColumn id="7" xr3:uid="{0F064677-F321-4E84-9458-8006F7E8C6EE}" name="WeekDay"/>
    <tableColumn id="8" xr3:uid="{2CF57EBD-0F73-4363-B3D6-97EF204BFABC}" name="ShiftCode"/>
    <tableColumn id="9" xr3:uid="{6500FF72-8C86-456A-8CAA-E8775FE956A2}" name="Date" dataDxfId="6"/>
    <tableColumn id="10" xr3:uid="{114D0208-9DD3-4197-832D-CF20DDD32B33}" name="IsWeekend"/>
    <tableColumn id="11" xr3:uid="{B992B077-5BB5-4BCC-942B-B53E83455DD4}" name="IsHoliday"/>
    <tableColumn id="12" xr3:uid="{9887DFDB-9B49-440F-9BA3-DC1B79485E56}" name="HolidayOrWeekend"/>
    <tableColumn id="13" xr3:uid="{BA2088E7-D40C-4FE9-A021-960AE6E5A00D}" name="WorkingHour"/>
    <tableColumn id="14" xr3:uid="{50EE4BE8-A0A3-4861-BBFA-016D76EEB260}" name="Wage"/>
    <tableColumn id="15" xr3:uid="{6591888E-B0C5-49F8-AD27-FD713F3BE1BB}" name="MaxHourPerDay"/>
    <tableColumn id="16" xr3:uid="{D67BA681-5873-4D27-BFB9-0D75ED938B8C}" name="PremiumShift"/>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ptos Narrow">
      <a:majorFont>
        <a:latin typeface="Aptos Black"/>
        <a:ea typeface=""/>
        <a:cs typeface="Khmer OS Moul"/>
      </a:majorFont>
      <a:minorFont>
        <a:latin typeface="Aptos Narrow"/>
        <a:ea typeface=""/>
        <a:cs typeface="Khmer OS Battambang"/>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e" xr10:uid="{DCCCD9B0-BAB6-4CE6-9588-218AB7624120}" sourceName="[tblHistory].[Date]">
  <pivotTables>
    <pivotTable tabId="9" name="pvKPINumbers"/>
    <pivotTable tabId="9" name="pvDailyStaffingLevel"/>
    <pivotTable tabId="9" name="pvEmployeeWorkingHourVsContractHour"/>
    <pivotTable tabId="9" name="pvPremiumShiftDistribution"/>
    <pivotTable tabId="9" name="pvStaffHeadCountWageDistribution"/>
    <pivotTable tabId="9" name="pvTotalWageByRoleCategory"/>
    <pivotTable tabId="9" name="pvWorkloadPercentage"/>
  </pivotTables>
  <state minimalRefreshVersion="6" lastRefreshVersion="6" pivotCacheId="839124294" filterType="unknown">
    <bounds startDate="2025-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6FD82050-9221-4E7C-BEE4-1129B1D2AD14}" cache="Timeline_Date" caption="Date" level="2" selectionLevel="2" scrollPosition="2025-01-01T00:00:00" style="TimeSlicerStyleLight4"/>
</timeline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51BE1-666B-42F8-8514-DDF843DD24D4}">
  <sheetPr codeName="SheetSchedule"/>
  <dimension ref="A1:AM41"/>
  <sheetViews>
    <sheetView showGridLines="0" tabSelected="1" zoomScale="85" zoomScaleNormal="85" workbookViewId="0">
      <selection activeCell="N11" sqref="N11"/>
    </sheetView>
  </sheetViews>
  <sheetFormatPr defaultRowHeight="14.25" x14ac:dyDescent="0.45"/>
  <cols>
    <col min="1" max="1" width="15.1328125" bestFit="1" customWidth="1"/>
    <col min="2" max="2" width="15" bestFit="1" customWidth="1"/>
    <col min="3" max="3" width="11.53125" hidden="1" customWidth="1"/>
    <col min="4" max="4" width="10.86328125" customWidth="1"/>
    <col min="5" max="5" width="9.73046875" hidden="1" customWidth="1"/>
    <col min="6" max="6" width="7.86328125" hidden="1" customWidth="1"/>
    <col min="7" max="7" width="11.1328125" bestFit="1" customWidth="1"/>
    <col min="8" max="8" width="14.73046875" customWidth="1"/>
    <col min="9" max="9" width="12" hidden="1" customWidth="1"/>
    <col min="10" max="10" width="11.59765625" bestFit="1" customWidth="1"/>
    <col min="11" max="11" width="13.86328125" bestFit="1" customWidth="1"/>
    <col min="12" max="18" width="14.19921875" bestFit="1" customWidth="1"/>
    <col min="19" max="32" width="0" hidden="1" customWidth="1"/>
    <col min="33" max="39" width="10.6640625" hidden="1" customWidth="1"/>
  </cols>
  <sheetData>
    <row r="1" spans="1:39" ht="31.9" x14ac:dyDescent="0.45">
      <c r="A1" s="1"/>
      <c r="B1" s="2"/>
      <c r="C1" s="2"/>
      <c r="D1" s="3"/>
      <c r="E1" s="3"/>
      <c r="F1" s="3"/>
      <c r="G1" s="3"/>
      <c r="H1" s="3"/>
      <c r="I1" s="3"/>
      <c r="J1" s="3"/>
      <c r="K1" s="3"/>
      <c r="L1" s="3"/>
      <c r="M1" s="3"/>
      <c r="N1" s="3"/>
      <c r="O1" s="3"/>
      <c r="P1" s="3"/>
      <c r="Q1" s="3"/>
      <c r="R1" s="3"/>
    </row>
    <row r="2" spans="1:39" ht="18" customHeight="1" x14ac:dyDescent="0.45">
      <c r="A2" s="1"/>
      <c r="B2" s="4"/>
      <c r="C2" s="4"/>
      <c r="D2" s="1"/>
      <c r="E2" s="1"/>
      <c r="F2" s="1"/>
      <c r="G2" s="1"/>
      <c r="H2" s="1"/>
      <c r="I2" s="1"/>
      <c r="J2" s="1"/>
      <c r="K2" s="1"/>
      <c r="L2" s="1"/>
      <c r="M2" s="1"/>
      <c r="N2" s="1"/>
      <c r="O2" s="1"/>
      <c r="P2" s="1"/>
      <c r="Q2" s="1"/>
      <c r="R2" s="1"/>
    </row>
    <row r="4" spans="1:39" x14ac:dyDescent="0.45">
      <c r="A4" s="19" t="s">
        <v>93</v>
      </c>
      <c r="B4" s="20">
        <v>1</v>
      </c>
    </row>
    <row r="5" spans="1:39" x14ac:dyDescent="0.45">
      <c r="A5" s="19" t="s">
        <v>94</v>
      </c>
      <c r="B5" s="20">
        <v>4</v>
      </c>
    </row>
    <row r="6" spans="1:39" x14ac:dyDescent="0.45">
      <c r="A6" s="19" t="s">
        <v>95</v>
      </c>
      <c r="B6" s="20">
        <v>2026</v>
      </c>
    </row>
    <row r="7" spans="1:39" x14ac:dyDescent="0.45">
      <c r="A7" s="19" t="s">
        <v>96</v>
      </c>
      <c r="B7" s="23">
        <f>DATE(B6,B5,B4)</f>
        <v>46113</v>
      </c>
    </row>
    <row r="8" spans="1:39" x14ac:dyDescent="0.45">
      <c r="L8" s="50">
        <f>L9</f>
        <v>46111</v>
      </c>
      <c r="M8" s="50">
        <f t="shared" ref="M8:R8" si="0">M9</f>
        <v>46112</v>
      </c>
      <c r="N8" s="50">
        <f t="shared" si="0"/>
        <v>46113</v>
      </c>
      <c r="O8" s="50">
        <f t="shared" si="0"/>
        <v>46114</v>
      </c>
      <c r="P8" s="50">
        <f t="shared" si="0"/>
        <v>46115</v>
      </c>
      <c r="Q8" s="50">
        <f t="shared" si="0"/>
        <v>46116</v>
      </c>
      <c r="R8" s="50">
        <f t="shared" si="0"/>
        <v>46117</v>
      </c>
    </row>
    <row r="9" spans="1:39" x14ac:dyDescent="0.45">
      <c r="L9" s="51">
        <f>report_date-WEEKDAY(report_date,2)+1</f>
        <v>46111</v>
      </c>
      <c r="M9" s="51">
        <f>L9+1</f>
        <v>46112</v>
      </c>
      <c r="N9" s="51">
        <f t="shared" ref="N9:R9" si="1">M9+1</f>
        <v>46113</v>
      </c>
      <c r="O9" s="51">
        <f t="shared" si="1"/>
        <v>46114</v>
      </c>
      <c r="P9" s="51">
        <f t="shared" si="1"/>
        <v>46115</v>
      </c>
      <c r="Q9" s="51">
        <f t="shared" si="1"/>
        <v>46116</v>
      </c>
      <c r="R9" s="51">
        <f t="shared" si="1"/>
        <v>46117</v>
      </c>
    </row>
    <row r="10" spans="1:39" x14ac:dyDescent="0.45">
      <c r="A10" t="s">
        <v>14</v>
      </c>
      <c r="B10" t="s">
        <v>12</v>
      </c>
      <c r="C10" t="s">
        <v>13</v>
      </c>
      <c r="D10" t="s">
        <v>15</v>
      </c>
      <c r="E10" t="s">
        <v>16</v>
      </c>
      <c r="F10" t="s">
        <v>18</v>
      </c>
      <c r="G10" t="s">
        <v>19</v>
      </c>
      <c r="H10" t="s">
        <v>20</v>
      </c>
      <c r="I10" t="s">
        <v>21</v>
      </c>
      <c r="J10" t="s">
        <v>22</v>
      </c>
      <c r="K10" s="16" t="s">
        <v>85</v>
      </c>
      <c r="L10" s="25" t="s">
        <v>64</v>
      </c>
      <c r="M10" s="25" t="s">
        <v>65</v>
      </c>
      <c r="N10" s="25" t="s">
        <v>66</v>
      </c>
      <c r="O10" s="25" t="s">
        <v>67</v>
      </c>
      <c r="P10" s="25" t="s">
        <v>68</v>
      </c>
      <c r="Q10" s="52" t="s">
        <v>69</v>
      </c>
      <c r="R10" s="52" t="s">
        <v>70</v>
      </c>
      <c r="S10" s="7" t="s">
        <v>78</v>
      </c>
      <c r="T10" s="7" t="s">
        <v>79</v>
      </c>
      <c r="U10" s="7" t="s">
        <v>80</v>
      </c>
      <c r="V10" s="7" t="s">
        <v>81</v>
      </c>
      <c r="W10" s="7" t="s">
        <v>82</v>
      </c>
      <c r="X10" s="7" t="s">
        <v>83</v>
      </c>
      <c r="Y10" s="7" t="s">
        <v>84</v>
      </c>
      <c r="Z10" s="18" t="s">
        <v>86</v>
      </c>
      <c r="AA10" s="18" t="s">
        <v>87</v>
      </c>
      <c r="AB10" s="18" t="s">
        <v>88</v>
      </c>
      <c r="AC10" s="18" t="s">
        <v>89</v>
      </c>
      <c r="AD10" s="18" t="s">
        <v>90</v>
      </c>
      <c r="AE10" s="18" t="s">
        <v>91</v>
      </c>
      <c r="AF10" s="18" t="s">
        <v>92</v>
      </c>
      <c r="AG10" t="s">
        <v>101</v>
      </c>
      <c r="AH10" t="s">
        <v>102</v>
      </c>
      <c r="AI10" t="s">
        <v>103</v>
      </c>
      <c r="AJ10" t="s">
        <v>104</v>
      </c>
      <c r="AK10" t="s">
        <v>105</v>
      </c>
      <c r="AL10" t="s">
        <v>106</v>
      </c>
      <c r="AM10" t="s">
        <v>107</v>
      </c>
    </row>
    <row r="11" spans="1:39" x14ac:dyDescent="0.45">
      <c r="A11" t="s">
        <v>48</v>
      </c>
      <c r="B11" t="str" cm="1">
        <f t="array" ref="B11">IFERROR(INDEX(tblStaff[Role], MATCH(tblSchedule[[#This Row],[StaffName]:[StaffName]], tblStaff[[StaffName]:[StaffName]], 0)), "")</f>
        <v>Store Manager</v>
      </c>
      <c r="C11" t="str">
        <f>IFERROR(INDEX(tblRefRole[RoleCategory], MATCH(tblSchedule[[#This Row],[Role]], tblRefRole[Role], 0)), "")</f>
        <v>Manager</v>
      </c>
      <c r="D11" t="str" cm="1">
        <f t="array" ref="D11">IFERROR(INDEX(tblStaff[FullPart], MATCH(tblSchedule[[#This Row],[StaffName]:[StaffName]], tblStaff[[StaffName]:[StaffName]], 0)), "")</f>
        <v>Full Time</v>
      </c>
      <c r="E11" cm="1">
        <f t="array" ref="E11">IFERROR(INDEX(tblStaff[HourlyRate], MATCH(tblSchedule[[#This Row],[StaffName]:[StaffName]], tblStaff[[StaffName]:[StaffName]], 0)), "")</f>
        <v>30</v>
      </c>
      <c r="F11" cm="1">
        <f t="array" ref="F11">IFERROR(INDEX(tblStaff[MaxHourWeek], MATCH(tblSchedule[[#This Row],[StaffName]:[StaffName]], tblStaff[[StaffName]:[StaffName]], 0)), "")</f>
        <v>40</v>
      </c>
      <c r="G11">
        <f>IFERROR(SUM(tblSchedule[[#This Row],[H_Mon]:[H_Sun]]), 0)</f>
        <v>28</v>
      </c>
      <c r="H11" s="25" t="str">
        <f>_xlfn.CONCAT(IFERROR(GETPIVOTDATA("[Measures].[Sum of PremiumShift]",Setting!$G$17,"[tblHistory].[StaffName]","[tblHistory].[StaffName].&amp;[" &amp; tblSchedule[[#This Row],[StaffName]] &amp; "]"), 0), " / ", holiday_weekend_count)</f>
        <v>19 / 31</v>
      </c>
      <c r="I11" s="39">
        <f>IFERROR(GETPIVOTDATA("[Measures].[Sum of PremiumShift]",Setting!$G$17,"[tblHistory].[StaffName]","[tblHistory].[StaffName].&amp;["&amp; tblSchedule[[#This Row],[StaffName]]&amp;"]"), 0) / holiday_weekend_count</f>
        <v>0.61290322580645162</v>
      </c>
      <c r="J11" s="28">
        <f>SUM(tblSchedule[[#This Row],[WAGE_Mon]:[WAGE_Sun]])</f>
        <v>945</v>
      </c>
      <c r="K11" s="17" t="s">
        <v>41</v>
      </c>
      <c r="L11" t="s">
        <v>35</v>
      </c>
      <c r="M11" t="s">
        <v>37</v>
      </c>
      <c r="N11" t="s">
        <v>41</v>
      </c>
      <c r="O11" t="s">
        <v>41</v>
      </c>
      <c r="P11" t="s">
        <v>35</v>
      </c>
      <c r="Q11" t="s">
        <v>35</v>
      </c>
      <c r="R11" t="s">
        <v>41</v>
      </c>
      <c r="S11">
        <f>INDEX(tblRefShift[[Hour]:[Hour]], MATCH(_xlfn.CONCAT(tblSchedule[[#This Row],[Role]:[Role]], "_", tblSchedule[[#This Row],[Mon]]), tblRefShift[[ShiftID]:[ShiftID]], 0))</f>
        <v>7</v>
      </c>
      <c r="T11">
        <f>INDEX(tblRefShift[[Hour]:[Hour]], MATCH(_xlfn.CONCAT(tblSchedule[[#This Row],[Role]:[Role]], "_", tblSchedule[[#This Row],[Tue]]), tblRefShift[[ShiftID]:[ShiftID]], 0))</f>
        <v>7</v>
      </c>
      <c r="U11">
        <f>INDEX(tblRefShift[[Hour]:[Hour]], MATCH(_xlfn.CONCAT(tblSchedule[[#This Row],[Role]:[Role]], "_", tblSchedule[[#This Row],[Wed]]), tblRefShift[[ShiftID]:[ShiftID]], 0))</f>
        <v>0</v>
      </c>
      <c r="V11">
        <f>INDEX(tblRefShift[[Hour]:[Hour]], MATCH(_xlfn.CONCAT(tblSchedule[[#This Row],[Role]:[Role]], "_", tblSchedule[[#This Row],[Thu]]), tblRefShift[[ShiftID]:[ShiftID]], 0))</f>
        <v>0</v>
      </c>
      <c r="W11">
        <f>INDEX(tblRefShift[[Hour]:[Hour]], MATCH(_xlfn.CONCAT(tblSchedule[[#This Row],[Role]:[Role]], "_", tblSchedule[[#This Row],[Fri]]), tblRefShift[[ShiftID]:[ShiftID]], 0))</f>
        <v>7</v>
      </c>
      <c r="X11">
        <f>INDEX(tblRefShift[[Hour]:[Hour]], MATCH(_xlfn.CONCAT(tblSchedule[[#This Row],[Role]:[Role]], "_", tblSchedule[[#This Row],[Sat]]), tblRefShift[[ShiftID]:[ShiftID]], 0))</f>
        <v>7</v>
      </c>
      <c r="Y11">
        <f>INDEX(tblRefShift[[Hour]:[Hour]], MATCH(_xlfn.CONCAT(tblSchedule[[#This Row],[Role]:[Role]], "_", tblSchedule[[#This Row],[Sun]]), tblRefShift[[ShiftID]:[ShiftID]], 0))</f>
        <v>0</v>
      </c>
      <c r="Z11" t="str">
        <f>IF(AND(LEFT(tblSchedule[[#This Row],[LW_Sun]], 1)="E", LEFT(tblSchedule[[#This Row],[Mon]], 1)="M"), "CLOPEN", "OK")</f>
        <v>OK</v>
      </c>
      <c r="AA11" t="str">
        <f>IF(AND(LEFT(tblSchedule[[#This Row],[Mon]], 1)="E", LEFT(tblSchedule[[#This Row],[Tue]], 1)="M"), "CLOPEN", "OK")</f>
        <v>OK</v>
      </c>
      <c r="AB11" t="str">
        <f>IF(AND(LEFT(tblSchedule[[#This Row],[Tue]], 1)="E", LEFT(tblSchedule[[#This Row],[Wed]], 1)="M"), "CLOPEN", "OK")</f>
        <v>OK</v>
      </c>
      <c r="AC11" t="str">
        <f>IF(AND(LEFT(tblSchedule[[#This Row],[Wed]], 1)="E", LEFT(tblSchedule[[#This Row],[Thu]], 1)="M"), "CLOPEN", "OK")</f>
        <v>OK</v>
      </c>
      <c r="AD11" t="str">
        <f>IF(AND(LEFT(tblSchedule[[#This Row],[Thu]], 1)="E", LEFT(tblSchedule[[#This Row],[Fri]], 1)="M"), "CLOPEN", "OK")</f>
        <v>OK</v>
      </c>
      <c r="AE11" t="str">
        <f>IF(AND(LEFT(tblSchedule[[#This Row],[Fri]], 1)="E", LEFT(tblSchedule[[#This Row],[Sat]], 1)="M"), "CLOPEN", "OK")</f>
        <v>OK</v>
      </c>
      <c r="AF11" t="str">
        <f>IF(AND(LEFT(tblSchedule[[#This Row],[Sat]], 1)="E", LEFT(tblSchedule[[#This Row],[Sun]], 1)="M"), "CLOPEN", "OK")</f>
        <v>OK</v>
      </c>
      <c r="AG11" cm="1">
        <f t="array" ref="AG11">IF(NOT(ISERROR(MATCH(L$9, tblPublicHoliday[[HOLIDAY]:[HOLIDAY]], 0))), holiday_rate_multiplier,
IF(WEEKDAY(L$9,2)=6, sat_rate_multiplier,
IF(WEEKDAY(L$9,2)=7, sun_rate_multiplier, 1))) * tblSchedule[[#This Row],[H_Mon]] * tblSchedule[[#This Row],[HourlyRate]:[HourlyRate]]</f>
        <v>210</v>
      </c>
      <c r="AH11" cm="1">
        <f t="array" ref="AH11">IF(NOT(ISERROR(MATCH(M$9, tblPublicHoliday[[HOLIDAY]:[HOLIDAY]], 0))), holiday_rate_multiplier,
IF(WEEKDAY(M$9,2)=6, sat_rate_multiplier,
IF(WEEKDAY(M$9,2)=7, sun_rate_multiplier, 1))) * tblSchedule[[#This Row],[H_Tue]] * tblSchedule[[#This Row],[HourlyRate]:[HourlyRate]]</f>
        <v>210</v>
      </c>
      <c r="AI11" cm="1">
        <f t="array" ref="AI11">IF(NOT(ISERROR(MATCH(N$9, tblPublicHoliday[[HOLIDAY]:[HOLIDAY]], 0))), holiday_rate_multiplier,
IF(WEEKDAY(N$9,2)=6, sat_rate_multiplier,
IF(WEEKDAY(N$9,2)=7, sun_rate_multiplier, 1))) * tblSchedule[[#This Row],[H_Wed]] * tblSchedule[[#This Row],[HourlyRate]:[HourlyRate]]</f>
        <v>0</v>
      </c>
      <c r="AJ11" cm="1">
        <f t="array" ref="AJ11">IF(NOT(ISERROR(MATCH(O$9, tblPublicHoliday[[HOLIDAY]:[HOLIDAY]], 0))), holiday_rate_multiplier,
IF(WEEKDAY(O$9,2)=6, sat_rate_multiplier,
IF(WEEKDAY(O$9,2)=7, sun_rate_multiplier, 1))) * tblSchedule[[#This Row],[H_Thu]] * tblSchedule[[#This Row],[HourlyRate]:[HourlyRate]]</f>
        <v>0</v>
      </c>
      <c r="AK11" cm="1">
        <f t="array" ref="AK11">IF(NOT(ISERROR(MATCH(P$9, tblPublicHoliday[[HOLIDAY]:[HOLIDAY]], 0))), holiday_rate_multiplier,
IF(WEEKDAY(P$9,2)=6, sat_rate_multiplier,
IF(WEEKDAY(P$9,2)=7, sun_rate_multiplier, 1))) * tblSchedule[[#This Row],[H_Fri]] * tblSchedule[[#This Row],[HourlyRate]:[HourlyRate]]</f>
        <v>210</v>
      </c>
      <c r="AL11" cm="1">
        <f t="array" ref="AL11">IF(NOT(ISERROR(MATCH(Q$9, tblPublicHoliday[[HOLIDAY]:[HOLIDAY]], 0))), holiday_rate_multiplier,
IF(WEEKDAY(Q$9,2)=6, sat_rate_multiplier,
IF(WEEKDAY(Q$9,2)=7, sun_rate_multiplier, 1))) * tblSchedule[[#This Row],[H_Sat]] * tblSchedule[[#This Row],[HourlyRate]:[HourlyRate]]</f>
        <v>315</v>
      </c>
      <c r="AM11" cm="1">
        <f t="array" ref="AM11">IF(NOT(ISERROR(MATCH(R$9, tblPublicHoliday[[HOLIDAY]:[HOLIDAY]], 0))), holiday_rate_multiplier,
IF(WEEKDAY(R$9,2)=6, sat_rate_multiplier,
IF(WEEKDAY(R$9,2)=7, sun_rate_multiplier, 1))) * tblSchedule[[#This Row],[H_Sun]] * tblSchedule[[#This Row],[HourlyRate]:[HourlyRate]]</f>
        <v>0</v>
      </c>
    </row>
    <row r="12" spans="1:39" x14ac:dyDescent="0.45">
      <c r="A12" t="s">
        <v>50</v>
      </c>
      <c r="B12" t="str" cm="1">
        <f t="array" ref="B12">IFERROR(INDEX(tblStaff[Role], MATCH(tblSchedule[[#This Row],[StaffName]:[StaffName]], tblStaff[[StaffName]:[StaffName]], 0)), "")</f>
        <v>Assistant Manager</v>
      </c>
      <c r="C12" t="str">
        <f>IFERROR(INDEX(tblRefRole[RoleCategory], MATCH(tblSchedule[[#This Row],[Role]], tblRefRole[Role], 0)), "")</f>
        <v>Manager</v>
      </c>
      <c r="D12" t="str" cm="1">
        <f t="array" ref="D12">IFERROR(INDEX(tblStaff[FullPart], MATCH(tblSchedule[[#This Row],[StaffName]:[StaffName]], tblStaff[[StaffName]:[StaffName]], 0)), "")</f>
        <v>Full Time</v>
      </c>
      <c r="E12" cm="1">
        <f t="array" ref="E12">IFERROR(INDEX(tblStaff[HourlyRate], MATCH(tblSchedule[[#This Row],[StaffName]:[StaffName]], tblStaff[[StaffName]:[StaffName]], 0)), "")</f>
        <v>25</v>
      </c>
      <c r="F12" cm="1">
        <f t="array" ref="F12">IFERROR(INDEX(tblStaff[MaxHourWeek], MATCH(tblSchedule[[#This Row],[StaffName]:[StaffName]], tblStaff[[StaffName]:[StaffName]], 0)), "")</f>
        <v>40</v>
      </c>
      <c r="G12">
        <f>IFERROR(SUM(tblSchedule[[#This Row],[H_Mon]:[H_Sun]]), 0)</f>
        <v>33</v>
      </c>
      <c r="H12" s="25" t="str">
        <f>_xlfn.CONCAT(IFERROR(GETPIVOTDATA("[Measures].[Sum of PremiumShift]",Setting!$G$17,"[tblHistory].[StaffName]","[tblHistory].[StaffName].&amp;[" &amp; tblSchedule[[#This Row],[StaffName]] &amp; "]"), 0), " / ", holiday_weekend_count)</f>
        <v>29 / 31</v>
      </c>
      <c r="I12" s="39">
        <f>IFERROR(GETPIVOTDATA("[Measures].[Sum of PremiumShift]",Setting!$G$17,"[tblHistory].[StaffName]","[tblHistory].[StaffName].&amp;["&amp; tblSchedule[[#This Row],[StaffName]]&amp;"]"), 0) / holiday_weekend_count</f>
        <v>0.93548387096774188</v>
      </c>
      <c r="J12" s="28">
        <f>SUM(tblSchedule[[#This Row],[WAGE_Mon]:[WAGE_Sun]])</f>
        <v>975</v>
      </c>
      <c r="K12" s="17" t="s">
        <v>37</v>
      </c>
      <c r="L12" t="s">
        <v>37</v>
      </c>
      <c r="M12" t="s">
        <v>41</v>
      </c>
      <c r="N12" t="s">
        <v>41</v>
      </c>
      <c r="O12" t="s">
        <v>37</v>
      </c>
      <c r="P12" t="s">
        <v>37</v>
      </c>
      <c r="Q12" t="s">
        <v>40</v>
      </c>
      <c r="R12" t="s">
        <v>37</v>
      </c>
      <c r="S12">
        <f>INDEX(tblRefShift[[Hour]:[Hour]], MATCH(_xlfn.CONCAT(tblSchedule[[#This Row],[Role]:[Role]], "_", tblSchedule[[#This Row],[Mon]]), tblRefShift[[ShiftID]:[ShiftID]], 0))</f>
        <v>7</v>
      </c>
      <c r="T12">
        <f>INDEX(tblRefShift[[Hour]:[Hour]], MATCH(_xlfn.CONCAT(tblSchedule[[#This Row],[Role]:[Role]], "_", tblSchedule[[#This Row],[Tue]]), tblRefShift[[ShiftID]:[ShiftID]], 0))</f>
        <v>0</v>
      </c>
      <c r="U12">
        <f>INDEX(tblRefShift[[Hour]:[Hour]], MATCH(_xlfn.CONCAT(tblSchedule[[#This Row],[Role]:[Role]], "_", tblSchedule[[#This Row],[Wed]]), tblRefShift[[ShiftID]:[ShiftID]], 0))</f>
        <v>0</v>
      </c>
      <c r="V12">
        <f>INDEX(tblRefShift[[Hour]:[Hour]], MATCH(_xlfn.CONCAT(tblSchedule[[#This Row],[Role]:[Role]], "_", tblSchedule[[#This Row],[Thu]]), tblRefShift[[ShiftID]:[ShiftID]], 0))</f>
        <v>7</v>
      </c>
      <c r="W12">
        <f>INDEX(tblRefShift[[Hour]:[Hour]], MATCH(_xlfn.CONCAT(tblSchedule[[#This Row],[Role]:[Role]], "_", tblSchedule[[#This Row],[Fri]]), tblRefShift[[ShiftID]:[ShiftID]], 0))</f>
        <v>7</v>
      </c>
      <c r="X12">
        <f>INDEX(tblRefShift[[Hour]:[Hour]], MATCH(_xlfn.CONCAT(tblSchedule[[#This Row],[Role]:[Role]], "_", tblSchedule[[#This Row],[Sat]]), tblRefShift[[ShiftID]:[ShiftID]], 0))</f>
        <v>5</v>
      </c>
      <c r="Y12">
        <f>INDEX(tblRefShift[[Hour]:[Hour]], MATCH(_xlfn.CONCAT(tblSchedule[[#This Row],[Role]:[Role]], "_", tblSchedule[[#This Row],[Sun]]), tblRefShift[[ShiftID]:[ShiftID]], 0))</f>
        <v>7</v>
      </c>
      <c r="Z12" t="str">
        <f>IF(AND(LEFT(tblSchedule[[#This Row],[LW_Sun]], 1)="E", LEFT(tblSchedule[[#This Row],[Mon]], 1)="M"), "CLOPEN", "OK")</f>
        <v>OK</v>
      </c>
      <c r="AA12" t="str">
        <f>IF(AND(LEFT(tblSchedule[[#This Row],[Mon]], 1)="E", LEFT(tblSchedule[[#This Row],[Tue]], 1)="M"), "CLOPEN", "OK")</f>
        <v>OK</v>
      </c>
      <c r="AB12" t="str">
        <f>IF(AND(LEFT(tblSchedule[[#This Row],[Tue]], 1)="E", LEFT(tblSchedule[[#This Row],[Wed]], 1)="M"), "CLOPEN", "OK")</f>
        <v>OK</v>
      </c>
      <c r="AC12" t="str">
        <f>IF(AND(LEFT(tblSchedule[[#This Row],[Wed]], 1)="E", LEFT(tblSchedule[[#This Row],[Thu]], 1)="M"), "CLOPEN", "OK")</f>
        <v>OK</v>
      </c>
      <c r="AD12" t="str">
        <f>IF(AND(LEFT(tblSchedule[[#This Row],[Thu]], 1)="E", LEFT(tblSchedule[[#This Row],[Fri]], 1)="M"), "CLOPEN", "OK")</f>
        <v>OK</v>
      </c>
      <c r="AE12" t="str">
        <f>IF(AND(LEFT(tblSchedule[[#This Row],[Fri]], 1)="E", LEFT(tblSchedule[[#This Row],[Sat]], 1)="M"), "CLOPEN", "OK")</f>
        <v>OK</v>
      </c>
      <c r="AF12" t="str">
        <f>IF(AND(LEFT(tblSchedule[[#This Row],[Sat]], 1)="E", LEFT(tblSchedule[[#This Row],[Sun]], 1)="M"), "CLOPEN", "OK")</f>
        <v>OK</v>
      </c>
      <c r="AG12" cm="1">
        <f t="array" ref="AG12">IF(NOT(ISERROR(MATCH(L$9, tblPublicHoliday[[HOLIDAY]:[HOLIDAY]], 0))), holiday_rate_multiplier,
IF(WEEKDAY(L$9,2)=6, sat_rate_multiplier,
IF(WEEKDAY(L$9,2)=7, sun_rate_multiplier, 1))) * tblSchedule[[#This Row],[H_Mon]] * tblSchedule[[#This Row],[HourlyRate]:[HourlyRate]]</f>
        <v>175</v>
      </c>
      <c r="AH12" cm="1">
        <f t="array" ref="AH12">IF(NOT(ISERROR(MATCH(M$9, tblPublicHoliday[[HOLIDAY]:[HOLIDAY]], 0))), holiday_rate_multiplier,
IF(WEEKDAY(M$9,2)=6, sat_rate_multiplier,
IF(WEEKDAY(M$9,2)=7, sun_rate_multiplier, 1))) * tblSchedule[[#This Row],[H_Tue]] * tblSchedule[[#This Row],[HourlyRate]:[HourlyRate]]</f>
        <v>0</v>
      </c>
      <c r="AI12" cm="1">
        <f t="array" ref="AI12">IF(NOT(ISERROR(MATCH(N$9, tblPublicHoliday[[HOLIDAY]:[HOLIDAY]], 0))), holiday_rate_multiplier,
IF(WEEKDAY(N$9,2)=6, sat_rate_multiplier,
IF(WEEKDAY(N$9,2)=7, sun_rate_multiplier, 1))) * tblSchedule[[#This Row],[H_Wed]] * tblSchedule[[#This Row],[HourlyRate]:[HourlyRate]]</f>
        <v>0</v>
      </c>
      <c r="AJ12" cm="1">
        <f t="array" ref="AJ12">IF(NOT(ISERROR(MATCH(O$9, tblPublicHoliday[[HOLIDAY]:[HOLIDAY]], 0))), holiday_rate_multiplier,
IF(WEEKDAY(O$9,2)=6, sat_rate_multiplier,
IF(WEEKDAY(O$9,2)=7, sun_rate_multiplier, 1))) * tblSchedule[[#This Row],[H_Thu]] * tblSchedule[[#This Row],[HourlyRate]:[HourlyRate]]</f>
        <v>175</v>
      </c>
      <c r="AK12" cm="1">
        <f t="array" ref="AK12">IF(NOT(ISERROR(MATCH(P$9, tblPublicHoliday[[HOLIDAY]:[HOLIDAY]], 0))), holiday_rate_multiplier,
IF(WEEKDAY(P$9,2)=6, sat_rate_multiplier,
IF(WEEKDAY(P$9,2)=7, sun_rate_multiplier, 1))) * tblSchedule[[#This Row],[H_Fri]] * tblSchedule[[#This Row],[HourlyRate]:[HourlyRate]]</f>
        <v>175</v>
      </c>
      <c r="AL12" cm="1">
        <f t="array" ref="AL12">IF(NOT(ISERROR(MATCH(Q$9, tblPublicHoliday[[HOLIDAY]:[HOLIDAY]], 0))), holiday_rate_multiplier,
IF(WEEKDAY(Q$9,2)=6, sat_rate_multiplier,
IF(WEEKDAY(Q$9,2)=7, sun_rate_multiplier, 1))) * tblSchedule[[#This Row],[H_Sat]] * tblSchedule[[#This Row],[HourlyRate]:[HourlyRate]]</f>
        <v>187.5</v>
      </c>
      <c r="AM12" cm="1">
        <f t="array" ref="AM12">IF(NOT(ISERROR(MATCH(R$9, tblPublicHoliday[[HOLIDAY]:[HOLIDAY]], 0))), holiday_rate_multiplier,
IF(WEEKDAY(R$9,2)=6, sat_rate_multiplier,
IF(WEEKDAY(R$9,2)=7, sun_rate_multiplier, 1))) * tblSchedule[[#This Row],[H_Sun]] * tblSchedule[[#This Row],[HourlyRate]:[HourlyRate]]</f>
        <v>262.5</v>
      </c>
    </row>
    <row r="13" spans="1:39" x14ac:dyDescent="0.45">
      <c r="A13" t="s">
        <v>51</v>
      </c>
      <c r="B13" t="str" cm="1">
        <f t="array" ref="B13">IFERROR(INDEX(tblStaff[Role], MATCH(tblSchedule[[#This Row],[StaffName]:[StaffName]], tblStaff[[StaffName]:[StaffName]], 0)), "")</f>
        <v>Assistant Manager</v>
      </c>
      <c r="C13" t="str">
        <f>IFERROR(INDEX(tblRefRole[RoleCategory], MATCH(tblSchedule[[#This Row],[Role]], tblRefRole[Role], 0)), "")</f>
        <v>Manager</v>
      </c>
      <c r="D13" t="str" cm="1">
        <f t="array" ref="D13">IFERROR(INDEX(tblStaff[FullPart], MATCH(tblSchedule[[#This Row],[StaffName]:[StaffName]], tblStaff[[StaffName]:[StaffName]], 0)), "")</f>
        <v>Full Time</v>
      </c>
      <c r="E13" cm="1">
        <f t="array" ref="E13">IFERROR(INDEX(tblStaff[HourlyRate], MATCH(tblSchedule[[#This Row],[StaffName]:[StaffName]], tblStaff[[StaffName]:[StaffName]], 0)), "")</f>
        <v>25</v>
      </c>
      <c r="F13" cm="1">
        <f t="array" ref="F13">IFERROR(INDEX(tblStaff[MaxHourWeek], MATCH(tblSchedule[[#This Row],[StaffName]:[StaffName]], tblStaff[[StaffName]:[StaffName]], 0)), "")</f>
        <v>40</v>
      </c>
      <c r="G13">
        <f>IFERROR(SUM(tblSchedule[[#This Row],[H_Mon]:[H_Sun]]), 0)</f>
        <v>35</v>
      </c>
      <c r="H13" s="25" t="str">
        <f>_xlfn.CONCAT(IFERROR(GETPIVOTDATA("[Measures].[Sum of PremiumShift]",Setting!$G$17,"[tblHistory].[StaffName]","[tblHistory].[StaffName].&amp;[" &amp; tblSchedule[[#This Row],[StaffName]] &amp; "]"), 0), " / ", holiday_weekend_count)</f>
        <v>30 / 31</v>
      </c>
      <c r="I13" s="39">
        <f>IFERROR(GETPIVOTDATA("[Measures].[Sum of PremiumShift]",Setting!$G$17,"[tblHistory].[StaffName]","[tblHistory].[StaffName].&amp;["&amp; tblSchedule[[#This Row],[StaffName]]&amp;"]"), 0) / holiday_weekend_count</f>
        <v>0.967741935483871</v>
      </c>
      <c r="J13" s="28">
        <f>SUM(tblSchedule[[#This Row],[WAGE_Mon]:[WAGE_Sun]])</f>
        <v>962.5</v>
      </c>
      <c r="K13" s="17" t="s">
        <v>35</v>
      </c>
      <c r="L13" t="s">
        <v>41</v>
      </c>
      <c r="M13" t="s">
        <v>35</v>
      </c>
      <c r="N13" t="s">
        <v>35</v>
      </c>
      <c r="O13" t="s">
        <v>35</v>
      </c>
      <c r="P13" t="s">
        <v>35</v>
      </c>
      <c r="Q13" t="s">
        <v>41</v>
      </c>
      <c r="R13" t="s">
        <v>35</v>
      </c>
      <c r="S13">
        <f>INDEX(tblRefShift[[Hour]:[Hour]], MATCH(_xlfn.CONCAT(tblSchedule[[#This Row],[Role]:[Role]], "_", tblSchedule[[#This Row],[Mon]]), tblRefShift[[ShiftID]:[ShiftID]], 0))</f>
        <v>0</v>
      </c>
      <c r="T13">
        <f>INDEX(tblRefShift[[Hour]:[Hour]], MATCH(_xlfn.CONCAT(tblSchedule[[#This Row],[Role]:[Role]], "_", tblSchedule[[#This Row],[Tue]]), tblRefShift[[ShiftID]:[ShiftID]], 0))</f>
        <v>7</v>
      </c>
      <c r="U13">
        <f>INDEX(tblRefShift[[Hour]:[Hour]], MATCH(_xlfn.CONCAT(tblSchedule[[#This Row],[Role]:[Role]], "_", tblSchedule[[#This Row],[Wed]]), tblRefShift[[ShiftID]:[ShiftID]], 0))</f>
        <v>7</v>
      </c>
      <c r="V13">
        <f>INDEX(tblRefShift[[Hour]:[Hour]], MATCH(_xlfn.CONCAT(tblSchedule[[#This Row],[Role]:[Role]], "_", tblSchedule[[#This Row],[Thu]]), tblRefShift[[ShiftID]:[ShiftID]], 0))</f>
        <v>7</v>
      </c>
      <c r="W13">
        <f>INDEX(tblRefShift[[Hour]:[Hour]], MATCH(_xlfn.CONCAT(tblSchedule[[#This Row],[Role]:[Role]], "_", tblSchedule[[#This Row],[Fri]]), tblRefShift[[ShiftID]:[ShiftID]], 0))</f>
        <v>7</v>
      </c>
      <c r="X13">
        <f>INDEX(tblRefShift[[Hour]:[Hour]], MATCH(_xlfn.CONCAT(tblSchedule[[#This Row],[Role]:[Role]], "_", tblSchedule[[#This Row],[Sat]]), tblRefShift[[ShiftID]:[ShiftID]], 0))</f>
        <v>0</v>
      </c>
      <c r="Y13">
        <f>INDEX(tblRefShift[[Hour]:[Hour]], MATCH(_xlfn.CONCAT(tblSchedule[[#This Row],[Role]:[Role]], "_", tblSchedule[[#This Row],[Sun]]), tblRefShift[[ShiftID]:[ShiftID]], 0))</f>
        <v>7</v>
      </c>
      <c r="Z13" t="str">
        <f>IF(AND(LEFT(tblSchedule[[#This Row],[LW_Sun]], 1)="E", LEFT(tblSchedule[[#This Row],[Mon]], 1)="M"), "CLOPEN", "OK")</f>
        <v>OK</v>
      </c>
      <c r="AA13" t="str">
        <f>IF(AND(LEFT(tblSchedule[[#This Row],[Mon]], 1)="E", LEFT(tblSchedule[[#This Row],[Tue]], 1)="M"), "CLOPEN", "OK")</f>
        <v>OK</v>
      </c>
      <c r="AB13" t="str">
        <f>IF(AND(LEFT(tblSchedule[[#This Row],[Tue]], 1)="E", LEFT(tblSchedule[[#This Row],[Wed]], 1)="M"), "CLOPEN", "OK")</f>
        <v>OK</v>
      </c>
      <c r="AC13" t="str">
        <f>IF(AND(LEFT(tblSchedule[[#This Row],[Wed]], 1)="E", LEFT(tblSchedule[[#This Row],[Thu]], 1)="M"), "CLOPEN", "OK")</f>
        <v>OK</v>
      </c>
      <c r="AD13" t="str">
        <f>IF(AND(LEFT(tblSchedule[[#This Row],[Thu]], 1)="E", LEFT(tblSchedule[[#This Row],[Fri]], 1)="M"), "CLOPEN", "OK")</f>
        <v>OK</v>
      </c>
      <c r="AE13" t="str">
        <f>IF(AND(LEFT(tblSchedule[[#This Row],[Fri]], 1)="E", LEFT(tblSchedule[[#This Row],[Sat]], 1)="M"), "CLOPEN", "OK")</f>
        <v>OK</v>
      </c>
      <c r="AF13" t="str">
        <f>IF(AND(LEFT(tblSchedule[[#This Row],[Sat]], 1)="E", LEFT(tblSchedule[[#This Row],[Sun]], 1)="M"), "CLOPEN", "OK")</f>
        <v>OK</v>
      </c>
      <c r="AG13" cm="1">
        <f t="array" ref="AG13">IF(NOT(ISERROR(MATCH(L$9, tblPublicHoliday[[HOLIDAY]:[HOLIDAY]], 0))), holiday_rate_multiplier,
IF(WEEKDAY(L$9,2)=6, sat_rate_multiplier,
IF(WEEKDAY(L$9,2)=7, sun_rate_multiplier, 1))) * tblSchedule[[#This Row],[H_Mon]] * tblSchedule[[#This Row],[HourlyRate]:[HourlyRate]]</f>
        <v>0</v>
      </c>
      <c r="AH13" cm="1">
        <f t="array" ref="AH13">IF(NOT(ISERROR(MATCH(M$9, tblPublicHoliday[[HOLIDAY]:[HOLIDAY]], 0))), holiday_rate_multiplier,
IF(WEEKDAY(M$9,2)=6, sat_rate_multiplier,
IF(WEEKDAY(M$9,2)=7, sun_rate_multiplier, 1))) * tblSchedule[[#This Row],[H_Tue]] * tblSchedule[[#This Row],[HourlyRate]:[HourlyRate]]</f>
        <v>175</v>
      </c>
      <c r="AI13" cm="1">
        <f t="array" ref="AI13">IF(NOT(ISERROR(MATCH(N$9, tblPublicHoliday[[HOLIDAY]:[HOLIDAY]], 0))), holiday_rate_multiplier,
IF(WEEKDAY(N$9,2)=6, sat_rate_multiplier,
IF(WEEKDAY(N$9,2)=7, sun_rate_multiplier, 1))) * tblSchedule[[#This Row],[H_Wed]] * tblSchedule[[#This Row],[HourlyRate]:[HourlyRate]]</f>
        <v>175</v>
      </c>
      <c r="AJ13" cm="1">
        <f t="array" ref="AJ13">IF(NOT(ISERROR(MATCH(O$9, tblPublicHoliday[[HOLIDAY]:[HOLIDAY]], 0))), holiday_rate_multiplier,
IF(WEEKDAY(O$9,2)=6, sat_rate_multiplier,
IF(WEEKDAY(O$9,2)=7, sun_rate_multiplier, 1))) * tblSchedule[[#This Row],[H_Thu]] * tblSchedule[[#This Row],[HourlyRate]:[HourlyRate]]</f>
        <v>175</v>
      </c>
      <c r="AK13" cm="1">
        <f t="array" ref="AK13">IF(NOT(ISERROR(MATCH(P$9, tblPublicHoliday[[HOLIDAY]:[HOLIDAY]], 0))), holiday_rate_multiplier,
IF(WEEKDAY(P$9,2)=6, sat_rate_multiplier,
IF(WEEKDAY(P$9,2)=7, sun_rate_multiplier, 1))) * tblSchedule[[#This Row],[H_Fri]] * tblSchedule[[#This Row],[HourlyRate]:[HourlyRate]]</f>
        <v>175</v>
      </c>
      <c r="AL13" cm="1">
        <f t="array" ref="AL13">IF(NOT(ISERROR(MATCH(Q$9, tblPublicHoliday[[HOLIDAY]:[HOLIDAY]], 0))), holiday_rate_multiplier,
IF(WEEKDAY(Q$9,2)=6, sat_rate_multiplier,
IF(WEEKDAY(Q$9,2)=7, sun_rate_multiplier, 1))) * tblSchedule[[#This Row],[H_Sat]] * tblSchedule[[#This Row],[HourlyRate]:[HourlyRate]]</f>
        <v>0</v>
      </c>
      <c r="AM13" cm="1">
        <f t="array" ref="AM13">IF(NOT(ISERROR(MATCH(R$9, tblPublicHoliday[[HOLIDAY]:[HOLIDAY]], 0))), holiday_rate_multiplier,
IF(WEEKDAY(R$9,2)=6, sat_rate_multiplier,
IF(WEEKDAY(R$9,2)=7, sun_rate_multiplier, 1))) * tblSchedule[[#This Row],[H_Sun]] * tblSchedule[[#This Row],[HourlyRate]:[HourlyRate]]</f>
        <v>262.5</v>
      </c>
    </row>
    <row r="14" spans="1:39" x14ac:dyDescent="0.45">
      <c r="A14" t="s">
        <v>52</v>
      </c>
      <c r="B14" t="str" cm="1">
        <f t="array" ref="B14">IFERROR(INDEX(tblStaff[Role], MATCH(tblSchedule[[#This Row],[StaffName]:[StaffName]], tblStaff[[StaffName]:[StaffName]], 0)), "")</f>
        <v>Chef</v>
      </c>
      <c r="C14" t="str">
        <f>IFERROR(INDEX(tblRefRole[RoleCategory], MATCH(tblSchedule[[#This Row],[Role]], tblRefRole[Role], 0)), "")</f>
        <v>Chef</v>
      </c>
      <c r="D14" t="str" cm="1">
        <f t="array" ref="D14">IFERROR(INDEX(tblStaff[FullPart], MATCH(tblSchedule[[#This Row],[StaffName]:[StaffName]], tblStaff[[StaffName]:[StaffName]], 0)), "")</f>
        <v>Full Time</v>
      </c>
      <c r="E14" cm="1">
        <f t="array" ref="E14">IFERROR(INDEX(tblStaff[HourlyRate], MATCH(tblSchedule[[#This Row],[StaffName]:[StaffName]], tblStaff[[StaffName]:[StaffName]], 0)), "")</f>
        <v>35</v>
      </c>
      <c r="F14" cm="1">
        <f t="array" ref="F14">IFERROR(INDEX(tblStaff[MaxHourWeek], MATCH(tblSchedule[[#This Row],[StaffName]:[StaffName]], tblStaff[[StaffName]:[StaffName]], 0)), "")</f>
        <v>40</v>
      </c>
      <c r="G14">
        <f>IFERROR(SUM(tblSchedule[[#This Row],[H_Mon]:[H_Sun]]), 0)</f>
        <v>15.999999999999996</v>
      </c>
      <c r="H14" s="25" t="str">
        <f>_xlfn.CONCAT(IFERROR(GETPIVOTDATA("[Measures].[Sum of PremiumShift]",Setting!$G$17,"[tblHistory].[StaffName]","[tblHistory].[StaffName].&amp;[" &amp; tblSchedule[[#This Row],[StaffName]] &amp; "]"), 0), " / ", holiday_weekend_count)</f>
        <v>4 / 31</v>
      </c>
      <c r="I14" s="39">
        <f>IFERROR(GETPIVOTDATA("[Measures].[Sum of PremiumShift]",Setting!$G$17,"[tblHistory].[StaffName]","[tblHistory].[StaffName].&amp;["&amp; tblSchedule[[#This Row],[StaffName]]&amp;"]"), 0) / holiday_weekend_count</f>
        <v>0.12903225806451613</v>
      </c>
      <c r="J14" s="28">
        <f>SUM(tblSchedule[[#This Row],[WAGE_Mon]:[WAGE_Sun]])</f>
        <v>559.99999999999989</v>
      </c>
      <c r="K14" s="17" t="s">
        <v>41</v>
      </c>
      <c r="L14" t="s">
        <v>42</v>
      </c>
      <c r="M14" t="s">
        <v>42</v>
      </c>
      <c r="N14" t="s">
        <v>41</v>
      </c>
      <c r="O14" t="s">
        <v>41</v>
      </c>
      <c r="P14" t="s">
        <v>41</v>
      </c>
      <c r="Q14" t="s">
        <v>41</v>
      </c>
      <c r="R14" t="s">
        <v>41</v>
      </c>
      <c r="S14">
        <f>INDEX(tblRefShift[[Hour]:[Hour]], MATCH(_xlfn.CONCAT(tblSchedule[[#This Row],[Role]:[Role]], "_", tblSchedule[[#This Row],[Mon]]), tblRefShift[[ShiftID]:[ShiftID]], 0))</f>
        <v>7.9999999999999982</v>
      </c>
      <c r="T14">
        <f>INDEX(tblRefShift[[Hour]:[Hour]], MATCH(_xlfn.CONCAT(tblSchedule[[#This Row],[Role]:[Role]], "_", tblSchedule[[#This Row],[Tue]]), tblRefShift[[ShiftID]:[ShiftID]], 0))</f>
        <v>7.9999999999999982</v>
      </c>
      <c r="U14">
        <f>INDEX(tblRefShift[[Hour]:[Hour]], MATCH(_xlfn.CONCAT(tblSchedule[[#This Row],[Role]:[Role]], "_", tblSchedule[[#This Row],[Wed]]), tblRefShift[[ShiftID]:[ShiftID]], 0))</f>
        <v>0</v>
      </c>
      <c r="V14">
        <f>INDEX(tblRefShift[[Hour]:[Hour]], MATCH(_xlfn.CONCAT(tblSchedule[[#This Row],[Role]:[Role]], "_", tblSchedule[[#This Row],[Thu]]), tblRefShift[[ShiftID]:[ShiftID]], 0))</f>
        <v>0</v>
      </c>
      <c r="W14">
        <f>INDEX(tblRefShift[[Hour]:[Hour]], MATCH(_xlfn.CONCAT(tblSchedule[[#This Row],[Role]:[Role]], "_", tblSchedule[[#This Row],[Fri]]), tblRefShift[[ShiftID]:[ShiftID]], 0))</f>
        <v>0</v>
      </c>
      <c r="X14">
        <f>INDEX(tblRefShift[[Hour]:[Hour]], MATCH(_xlfn.CONCAT(tblSchedule[[#This Row],[Role]:[Role]], "_", tblSchedule[[#This Row],[Sat]]), tblRefShift[[ShiftID]:[ShiftID]], 0))</f>
        <v>0</v>
      </c>
      <c r="Y14">
        <f>INDEX(tblRefShift[[Hour]:[Hour]], MATCH(_xlfn.CONCAT(tblSchedule[[#This Row],[Role]:[Role]], "_", tblSchedule[[#This Row],[Sun]]), tblRefShift[[ShiftID]:[ShiftID]], 0))</f>
        <v>0</v>
      </c>
      <c r="Z14" t="str">
        <f>IF(AND(LEFT(tblSchedule[[#This Row],[LW_Sun]], 1)="E", LEFT(tblSchedule[[#This Row],[Mon]], 1)="M"), "CLOPEN", "OK")</f>
        <v>OK</v>
      </c>
      <c r="AA14" t="str">
        <f>IF(AND(LEFT(tblSchedule[[#This Row],[Mon]], 1)="E", LEFT(tblSchedule[[#This Row],[Tue]], 1)="M"), "CLOPEN", "OK")</f>
        <v>OK</v>
      </c>
      <c r="AB14" t="str">
        <f>IF(AND(LEFT(tblSchedule[[#This Row],[Tue]], 1)="E", LEFT(tblSchedule[[#This Row],[Wed]], 1)="M"), "CLOPEN", "OK")</f>
        <v>OK</v>
      </c>
      <c r="AC14" t="str">
        <f>IF(AND(LEFT(tblSchedule[[#This Row],[Wed]], 1)="E", LEFT(tblSchedule[[#This Row],[Thu]], 1)="M"), "CLOPEN", "OK")</f>
        <v>OK</v>
      </c>
      <c r="AD14" t="str">
        <f>IF(AND(LEFT(tblSchedule[[#This Row],[Thu]], 1)="E", LEFT(tblSchedule[[#This Row],[Fri]], 1)="M"), "CLOPEN", "OK")</f>
        <v>OK</v>
      </c>
      <c r="AE14" t="str">
        <f>IF(AND(LEFT(tblSchedule[[#This Row],[Fri]], 1)="E", LEFT(tblSchedule[[#This Row],[Sat]], 1)="M"), "CLOPEN", "OK")</f>
        <v>OK</v>
      </c>
      <c r="AF14" t="str">
        <f>IF(AND(LEFT(tblSchedule[[#This Row],[Sat]], 1)="E", LEFT(tblSchedule[[#This Row],[Sun]], 1)="M"), "CLOPEN", "OK")</f>
        <v>OK</v>
      </c>
      <c r="AG14" cm="1">
        <f t="array" ref="AG14">IF(NOT(ISERROR(MATCH(L$9, tblPublicHoliday[[HOLIDAY]:[HOLIDAY]], 0))), holiday_rate_multiplier,
IF(WEEKDAY(L$9,2)=6, sat_rate_multiplier,
IF(WEEKDAY(L$9,2)=7, sun_rate_multiplier, 1))) * tblSchedule[[#This Row],[H_Mon]] * tblSchedule[[#This Row],[HourlyRate]:[HourlyRate]]</f>
        <v>279.99999999999994</v>
      </c>
      <c r="AH14" cm="1">
        <f t="array" ref="AH14">IF(NOT(ISERROR(MATCH(M$9, tblPublicHoliday[[HOLIDAY]:[HOLIDAY]], 0))), holiday_rate_multiplier,
IF(WEEKDAY(M$9,2)=6, sat_rate_multiplier,
IF(WEEKDAY(M$9,2)=7, sun_rate_multiplier, 1))) * tblSchedule[[#This Row],[H_Tue]] * tblSchedule[[#This Row],[HourlyRate]:[HourlyRate]]</f>
        <v>279.99999999999994</v>
      </c>
      <c r="AI14" cm="1">
        <f t="array" ref="AI14">IF(NOT(ISERROR(MATCH(N$9, tblPublicHoliday[[HOLIDAY]:[HOLIDAY]], 0))), holiday_rate_multiplier,
IF(WEEKDAY(N$9,2)=6, sat_rate_multiplier,
IF(WEEKDAY(N$9,2)=7, sun_rate_multiplier, 1))) * tblSchedule[[#This Row],[H_Wed]] * tblSchedule[[#This Row],[HourlyRate]:[HourlyRate]]</f>
        <v>0</v>
      </c>
      <c r="AJ14" cm="1">
        <f t="array" ref="AJ14">IF(NOT(ISERROR(MATCH(O$9, tblPublicHoliday[[HOLIDAY]:[HOLIDAY]], 0))), holiday_rate_multiplier,
IF(WEEKDAY(O$9,2)=6, sat_rate_multiplier,
IF(WEEKDAY(O$9,2)=7, sun_rate_multiplier, 1))) * tblSchedule[[#This Row],[H_Thu]] * tblSchedule[[#This Row],[HourlyRate]:[HourlyRate]]</f>
        <v>0</v>
      </c>
      <c r="AK14" cm="1">
        <f t="array" ref="AK14">IF(NOT(ISERROR(MATCH(P$9, tblPublicHoliday[[HOLIDAY]:[HOLIDAY]], 0))), holiday_rate_multiplier,
IF(WEEKDAY(P$9,2)=6, sat_rate_multiplier,
IF(WEEKDAY(P$9,2)=7, sun_rate_multiplier, 1))) * tblSchedule[[#This Row],[H_Fri]] * tblSchedule[[#This Row],[HourlyRate]:[HourlyRate]]</f>
        <v>0</v>
      </c>
      <c r="AL14" cm="1">
        <f t="array" ref="AL14">IF(NOT(ISERROR(MATCH(Q$9, tblPublicHoliday[[HOLIDAY]:[HOLIDAY]], 0))), holiday_rate_multiplier,
IF(WEEKDAY(Q$9,2)=6, sat_rate_multiplier,
IF(WEEKDAY(Q$9,2)=7, sun_rate_multiplier, 1))) * tblSchedule[[#This Row],[H_Sat]] * tblSchedule[[#This Row],[HourlyRate]:[HourlyRate]]</f>
        <v>0</v>
      </c>
      <c r="AM14" cm="1">
        <f t="array" ref="AM14">IF(NOT(ISERROR(MATCH(R$9, tblPublicHoliday[[HOLIDAY]:[HOLIDAY]], 0))), holiday_rate_multiplier,
IF(WEEKDAY(R$9,2)=6, sat_rate_multiplier,
IF(WEEKDAY(R$9,2)=7, sun_rate_multiplier, 1))) * tblSchedule[[#This Row],[H_Sun]] * tblSchedule[[#This Row],[HourlyRate]:[HourlyRate]]</f>
        <v>0</v>
      </c>
    </row>
    <row r="15" spans="1:39" x14ac:dyDescent="0.45">
      <c r="A15" t="s">
        <v>53</v>
      </c>
      <c r="B15" t="str" cm="1">
        <f t="array" ref="B15">IFERROR(INDEX(tblStaff[Role], MATCH(tblSchedule[[#This Row],[StaffName]:[StaffName]], tblStaff[[StaffName]:[StaffName]], 0)), "")</f>
        <v>Chef</v>
      </c>
      <c r="C15" t="str">
        <f>IFERROR(INDEX(tblRefRole[RoleCategory], MATCH(tblSchedule[[#This Row],[Role]], tblRefRole[Role], 0)), "")</f>
        <v>Chef</v>
      </c>
      <c r="D15" t="str" cm="1">
        <f t="array" ref="D15">IFERROR(INDEX(tblStaff[FullPart], MATCH(tblSchedule[[#This Row],[StaffName]:[StaffName]], tblStaff[[StaffName]:[StaffName]], 0)), "")</f>
        <v>Full Time</v>
      </c>
      <c r="E15" cm="1">
        <f t="array" ref="E15">IFERROR(INDEX(tblStaff[HourlyRate], MATCH(tblSchedule[[#This Row],[StaffName]:[StaffName]], tblStaff[[StaffName]:[StaffName]], 0)), "")</f>
        <v>35</v>
      </c>
      <c r="F15" cm="1">
        <f t="array" ref="F15">IFERROR(INDEX(tblStaff[MaxHourWeek], MATCH(tblSchedule[[#This Row],[StaffName]:[StaffName]], tblStaff[[StaffName]:[StaffName]], 0)), "")</f>
        <v>40</v>
      </c>
      <c r="G15">
        <f>IFERROR(SUM(tblSchedule[[#This Row],[H_Mon]:[H_Sun]]), 0)</f>
        <v>40</v>
      </c>
      <c r="H15" s="25" t="str">
        <f>_xlfn.CONCAT(IFERROR(GETPIVOTDATA("[Measures].[Sum of PremiumShift]",Setting!$G$17,"[tblHistory].[StaffName]","[tblHistory].[StaffName].&amp;[" &amp; tblSchedule[[#This Row],[StaffName]] &amp; "]"), 0), " / ", holiday_weekend_count)</f>
        <v>23 / 31</v>
      </c>
      <c r="I15" s="39">
        <f>IFERROR(GETPIVOTDATA("[Measures].[Sum of PremiumShift]",Setting!$G$17,"[tblHistory].[StaffName]","[tblHistory].[StaffName].&amp;["&amp; tblSchedule[[#This Row],[StaffName]]&amp;"]"), 0) / holiday_weekend_count</f>
        <v>0.74193548387096775</v>
      </c>
      <c r="J15" s="28">
        <f>SUM(tblSchedule[[#This Row],[WAGE_Mon]:[WAGE_Sun]])</f>
        <v>1680</v>
      </c>
      <c r="K15" s="17" t="s">
        <v>42</v>
      </c>
      <c r="L15" t="s">
        <v>44</v>
      </c>
      <c r="M15" t="s">
        <v>44</v>
      </c>
      <c r="N15" t="s">
        <v>41</v>
      </c>
      <c r="O15" t="s">
        <v>44</v>
      </c>
      <c r="P15" t="s">
        <v>41</v>
      </c>
      <c r="Q15" t="s">
        <v>42</v>
      </c>
      <c r="R15" t="s">
        <v>42</v>
      </c>
      <c r="S15">
        <f>INDEX(tblRefShift[[Hour]:[Hour]], MATCH(_xlfn.CONCAT(tblSchedule[[#This Row],[Role]:[Role]], "_", tblSchedule[[#This Row],[Mon]]), tblRefShift[[ShiftID]:[ShiftID]], 0))</f>
        <v>8</v>
      </c>
      <c r="T15">
        <f>INDEX(tblRefShift[[Hour]:[Hour]], MATCH(_xlfn.CONCAT(tblSchedule[[#This Row],[Role]:[Role]], "_", tblSchedule[[#This Row],[Tue]]), tblRefShift[[ShiftID]:[ShiftID]], 0))</f>
        <v>8</v>
      </c>
      <c r="U15">
        <f>INDEX(tblRefShift[[Hour]:[Hour]], MATCH(_xlfn.CONCAT(tblSchedule[[#This Row],[Role]:[Role]], "_", tblSchedule[[#This Row],[Wed]]), tblRefShift[[ShiftID]:[ShiftID]], 0))</f>
        <v>0</v>
      </c>
      <c r="V15">
        <f>INDEX(tblRefShift[[Hour]:[Hour]], MATCH(_xlfn.CONCAT(tblSchedule[[#This Row],[Role]:[Role]], "_", tblSchedule[[#This Row],[Thu]]), tblRefShift[[ShiftID]:[ShiftID]], 0))</f>
        <v>8</v>
      </c>
      <c r="W15">
        <f>INDEX(tblRefShift[[Hour]:[Hour]], MATCH(_xlfn.CONCAT(tblSchedule[[#This Row],[Role]:[Role]], "_", tblSchedule[[#This Row],[Fri]]), tblRefShift[[ShiftID]:[ShiftID]], 0))</f>
        <v>0</v>
      </c>
      <c r="X15">
        <f>INDEX(tblRefShift[[Hour]:[Hour]], MATCH(_xlfn.CONCAT(tblSchedule[[#This Row],[Role]:[Role]], "_", tblSchedule[[#This Row],[Sat]]), tblRefShift[[ShiftID]:[ShiftID]], 0))</f>
        <v>7.9999999999999982</v>
      </c>
      <c r="Y15">
        <f>INDEX(tblRefShift[[Hour]:[Hour]], MATCH(_xlfn.CONCAT(tblSchedule[[#This Row],[Role]:[Role]], "_", tblSchedule[[#This Row],[Sun]]), tblRefShift[[ShiftID]:[ShiftID]], 0))</f>
        <v>7.9999999999999982</v>
      </c>
      <c r="Z15" t="str">
        <f>IF(AND(LEFT(tblSchedule[[#This Row],[LW_Sun]], 1)="E", LEFT(tblSchedule[[#This Row],[Mon]], 1)="M"), "CLOPEN", "OK")</f>
        <v>OK</v>
      </c>
      <c r="AA15" t="str">
        <f>IF(AND(LEFT(tblSchedule[[#This Row],[Mon]], 1)="E", LEFT(tblSchedule[[#This Row],[Tue]], 1)="M"), "CLOPEN", "OK")</f>
        <v>OK</v>
      </c>
      <c r="AB15" t="str">
        <f>IF(AND(LEFT(tblSchedule[[#This Row],[Tue]], 1)="E", LEFT(tblSchedule[[#This Row],[Wed]], 1)="M"), "CLOPEN", "OK")</f>
        <v>OK</v>
      </c>
      <c r="AC15" t="str">
        <f>IF(AND(LEFT(tblSchedule[[#This Row],[Wed]], 1)="E", LEFT(tblSchedule[[#This Row],[Thu]], 1)="M"), "CLOPEN", "OK")</f>
        <v>OK</v>
      </c>
      <c r="AD15" t="str">
        <f>IF(AND(LEFT(tblSchedule[[#This Row],[Thu]], 1)="E", LEFT(tblSchedule[[#This Row],[Fri]], 1)="M"), "CLOPEN", "OK")</f>
        <v>OK</v>
      </c>
      <c r="AE15" t="str">
        <f>IF(AND(LEFT(tblSchedule[[#This Row],[Fri]], 1)="E", LEFT(tblSchedule[[#This Row],[Sat]], 1)="M"), "CLOPEN", "OK")</f>
        <v>OK</v>
      </c>
      <c r="AF15" t="str">
        <f>IF(AND(LEFT(tblSchedule[[#This Row],[Sat]], 1)="E", LEFT(tblSchedule[[#This Row],[Sun]], 1)="M"), "CLOPEN", "OK")</f>
        <v>OK</v>
      </c>
      <c r="AG15" cm="1">
        <f t="array" ref="AG15">IF(NOT(ISERROR(MATCH(L$9, tblPublicHoliday[[HOLIDAY]:[HOLIDAY]], 0))), holiday_rate_multiplier,
IF(WEEKDAY(L$9,2)=6, sat_rate_multiplier,
IF(WEEKDAY(L$9,2)=7, sun_rate_multiplier, 1))) * tblSchedule[[#This Row],[H_Mon]] * tblSchedule[[#This Row],[HourlyRate]:[HourlyRate]]</f>
        <v>280</v>
      </c>
      <c r="AH15" cm="1">
        <f t="array" ref="AH15">IF(NOT(ISERROR(MATCH(M$9, tblPublicHoliday[[HOLIDAY]:[HOLIDAY]], 0))), holiday_rate_multiplier,
IF(WEEKDAY(M$9,2)=6, sat_rate_multiplier,
IF(WEEKDAY(M$9,2)=7, sun_rate_multiplier, 1))) * tblSchedule[[#This Row],[H_Tue]] * tblSchedule[[#This Row],[HourlyRate]:[HourlyRate]]</f>
        <v>280</v>
      </c>
      <c r="AI15" cm="1">
        <f t="array" ref="AI15">IF(NOT(ISERROR(MATCH(N$9, tblPublicHoliday[[HOLIDAY]:[HOLIDAY]], 0))), holiday_rate_multiplier,
IF(WEEKDAY(N$9,2)=6, sat_rate_multiplier,
IF(WEEKDAY(N$9,2)=7, sun_rate_multiplier, 1))) * tblSchedule[[#This Row],[H_Wed]] * tblSchedule[[#This Row],[HourlyRate]:[HourlyRate]]</f>
        <v>0</v>
      </c>
      <c r="AJ15" cm="1">
        <f t="array" ref="AJ15">IF(NOT(ISERROR(MATCH(O$9, tblPublicHoliday[[HOLIDAY]:[HOLIDAY]], 0))), holiday_rate_multiplier,
IF(WEEKDAY(O$9,2)=6, sat_rate_multiplier,
IF(WEEKDAY(O$9,2)=7, sun_rate_multiplier, 1))) * tblSchedule[[#This Row],[H_Thu]] * tblSchedule[[#This Row],[HourlyRate]:[HourlyRate]]</f>
        <v>280</v>
      </c>
      <c r="AK15" cm="1">
        <f t="array" ref="AK15">IF(NOT(ISERROR(MATCH(P$9, tblPublicHoliday[[HOLIDAY]:[HOLIDAY]], 0))), holiday_rate_multiplier,
IF(WEEKDAY(P$9,2)=6, sat_rate_multiplier,
IF(WEEKDAY(P$9,2)=7, sun_rate_multiplier, 1))) * tblSchedule[[#This Row],[H_Fri]] * tblSchedule[[#This Row],[HourlyRate]:[HourlyRate]]</f>
        <v>0</v>
      </c>
      <c r="AL15" cm="1">
        <f t="array" ref="AL15">IF(NOT(ISERROR(MATCH(Q$9, tblPublicHoliday[[HOLIDAY]:[HOLIDAY]], 0))), holiday_rate_multiplier,
IF(WEEKDAY(Q$9,2)=6, sat_rate_multiplier,
IF(WEEKDAY(Q$9,2)=7, sun_rate_multiplier, 1))) * tblSchedule[[#This Row],[H_Sat]] * tblSchedule[[#This Row],[HourlyRate]:[HourlyRate]]</f>
        <v>419.99999999999989</v>
      </c>
      <c r="AM15" cm="1">
        <f t="array" ref="AM15">IF(NOT(ISERROR(MATCH(R$9, tblPublicHoliday[[HOLIDAY]:[HOLIDAY]], 0))), holiday_rate_multiplier,
IF(WEEKDAY(R$9,2)=6, sat_rate_multiplier,
IF(WEEKDAY(R$9,2)=7, sun_rate_multiplier, 1))) * tblSchedule[[#This Row],[H_Sun]] * tblSchedule[[#This Row],[HourlyRate]:[HourlyRate]]</f>
        <v>419.99999999999989</v>
      </c>
    </row>
    <row r="16" spans="1:39" x14ac:dyDescent="0.45">
      <c r="A16" t="s">
        <v>54</v>
      </c>
      <c r="B16" t="str" cm="1">
        <f t="array" ref="B16">IFERROR(INDEX(tblStaff[Role], MATCH(tblSchedule[[#This Row],[StaffName]:[StaffName]], tblStaff[[StaffName]:[StaffName]], 0)), "")</f>
        <v>Assistant Chef</v>
      </c>
      <c r="C16" t="str">
        <f>IFERROR(INDEX(tblRefRole[RoleCategory], MATCH(tblSchedule[[#This Row],[Role]], tblRefRole[Role], 0)), "")</f>
        <v>Chef</v>
      </c>
      <c r="D16" t="str" cm="1">
        <f t="array" ref="D16">IFERROR(INDEX(tblStaff[FullPart], MATCH(tblSchedule[[#This Row],[StaffName]:[StaffName]], tblStaff[[StaffName]:[StaffName]], 0)), "")</f>
        <v>Full Time</v>
      </c>
      <c r="E16" cm="1">
        <f t="array" ref="E16">IFERROR(INDEX(tblStaff[HourlyRate], MATCH(tblSchedule[[#This Row],[StaffName]:[StaffName]], tblStaff[[StaffName]:[StaffName]], 0)), "")</f>
        <v>28</v>
      </c>
      <c r="F16" cm="1">
        <f t="array" ref="F16">IFERROR(INDEX(tblStaff[MaxHourWeek], MATCH(tblSchedule[[#This Row],[StaffName]:[StaffName]], tblStaff[[StaffName]:[StaffName]], 0)), "")</f>
        <v>40</v>
      </c>
      <c r="G16">
        <f>IFERROR(SUM(tblSchedule[[#This Row],[H_Mon]:[H_Sun]]), 0)</f>
        <v>39.999999999999993</v>
      </c>
      <c r="H16" s="25" t="str">
        <f>_xlfn.CONCAT(IFERROR(GETPIVOTDATA("[Measures].[Sum of PremiumShift]",Setting!$G$17,"[tblHistory].[StaffName]","[tblHistory].[StaffName].&amp;[" &amp; tblSchedule[[#This Row],[StaffName]] &amp; "]"), 0), " / ", holiday_weekend_count)</f>
        <v>30 / 31</v>
      </c>
      <c r="I16" s="39">
        <f>IFERROR(GETPIVOTDATA("[Measures].[Sum of PremiumShift]",Setting!$G$17,"[tblHistory].[StaffName]","[tblHistory].[StaffName].&amp;["&amp; tblSchedule[[#This Row],[StaffName]]&amp;"]"), 0) / holiday_weekend_count</f>
        <v>0.967741935483871</v>
      </c>
      <c r="J16" s="28">
        <f>SUM(tblSchedule[[#This Row],[WAGE_Mon]:[WAGE_Sun]])</f>
        <v>1343.9999999999998</v>
      </c>
      <c r="K16" s="17" t="s">
        <v>44</v>
      </c>
      <c r="L16" t="s">
        <v>41</v>
      </c>
      <c r="M16" t="s">
        <v>41</v>
      </c>
      <c r="N16" t="s">
        <v>42</v>
      </c>
      <c r="O16" t="s">
        <v>42</v>
      </c>
      <c r="P16" t="s">
        <v>42</v>
      </c>
      <c r="Q16" t="s">
        <v>44</v>
      </c>
      <c r="R16" t="s">
        <v>44</v>
      </c>
      <c r="S16">
        <f>INDEX(tblRefShift[[Hour]:[Hour]], MATCH(_xlfn.CONCAT(tblSchedule[[#This Row],[Role]:[Role]], "_", tblSchedule[[#This Row],[Mon]]), tblRefShift[[ShiftID]:[ShiftID]], 0))</f>
        <v>0</v>
      </c>
      <c r="T16">
        <f>INDEX(tblRefShift[[Hour]:[Hour]], MATCH(_xlfn.CONCAT(tblSchedule[[#This Row],[Role]:[Role]], "_", tblSchedule[[#This Row],[Tue]]), tblRefShift[[ShiftID]:[ShiftID]], 0))</f>
        <v>0</v>
      </c>
      <c r="U16">
        <f>INDEX(tblRefShift[[Hour]:[Hour]], MATCH(_xlfn.CONCAT(tblSchedule[[#This Row],[Role]:[Role]], "_", tblSchedule[[#This Row],[Wed]]), tblRefShift[[ShiftID]:[ShiftID]], 0))</f>
        <v>7.9999999999999982</v>
      </c>
      <c r="V16">
        <f>INDEX(tblRefShift[[Hour]:[Hour]], MATCH(_xlfn.CONCAT(tblSchedule[[#This Row],[Role]:[Role]], "_", tblSchedule[[#This Row],[Thu]]), tblRefShift[[ShiftID]:[ShiftID]], 0))</f>
        <v>7.9999999999999982</v>
      </c>
      <c r="W16">
        <f>INDEX(tblRefShift[[Hour]:[Hour]], MATCH(_xlfn.CONCAT(tblSchedule[[#This Row],[Role]:[Role]], "_", tblSchedule[[#This Row],[Fri]]), tblRefShift[[ShiftID]:[ShiftID]], 0))</f>
        <v>7.9999999999999982</v>
      </c>
      <c r="X16">
        <f>INDEX(tblRefShift[[Hour]:[Hour]], MATCH(_xlfn.CONCAT(tblSchedule[[#This Row],[Role]:[Role]], "_", tblSchedule[[#This Row],[Sat]]), tblRefShift[[ShiftID]:[ShiftID]], 0))</f>
        <v>8</v>
      </c>
      <c r="Y16">
        <f>INDEX(tblRefShift[[Hour]:[Hour]], MATCH(_xlfn.CONCAT(tblSchedule[[#This Row],[Role]:[Role]], "_", tblSchedule[[#This Row],[Sun]]), tblRefShift[[ShiftID]:[ShiftID]], 0))</f>
        <v>8</v>
      </c>
      <c r="Z16" t="str">
        <f>IF(AND(LEFT(tblSchedule[[#This Row],[LW_Sun]], 1)="E", LEFT(tblSchedule[[#This Row],[Mon]], 1)="M"), "CLOPEN", "OK")</f>
        <v>OK</v>
      </c>
      <c r="AA16" t="str">
        <f>IF(AND(LEFT(tblSchedule[[#This Row],[Mon]], 1)="E", LEFT(tblSchedule[[#This Row],[Tue]], 1)="M"), "CLOPEN", "OK")</f>
        <v>OK</v>
      </c>
      <c r="AB16" t="str">
        <f>IF(AND(LEFT(tblSchedule[[#This Row],[Tue]], 1)="E", LEFT(tblSchedule[[#This Row],[Wed]], 1)="M"), "CLOPEN", "OK")</f>
        <v>OK</v>
      </c>
      <c r="AC16" t="str">
        <f>IF(AND(LEFT(tblSchedule[[#This Row],[Wed]], 1)="E", LEFT(tblSchedule[[#This Row],[Thu]], 1)="M"), "CLOPEN", "OK")</f>
        <v>OK</v>
      </c>
      <c r="AD16" t="str">
        <f>IF(AND(LEFT(tblSchedule[[#This Row],[Thu]], 1)="E", LEFT(tblSchedule[[#This Row],[Fri]], 1)="M"), "CLOPEN", "OK")</f>
        <v>OK</v>
      </c>
      <c r="AE16" t="str">
        <f>IF(AND(LEFT(tblSchedule[[#This Row],[Fri]], 1)="E", LEFT(tblSchedule[[#This Row],[Sat]], 1)="M"), "CLOPEN", "OK")</f>
        <v>OK</v>
      </c>
      <c r="AF16" t="str">
        <f>IF(AND(LEFT(tblSchedule[[#This Row],[Sat]], 1)="E", LEFT(tblSchedule[[#This Row],[Sun]], 1)="M"), "CLOPEN", "OK")</f>
        <v>OK</v>
      </c>
      <c r="AG16" cm="1">
        <f t="array" ref="AG16">IF(NOT(ISERROR(MATCH(L$9, tblPublicHoliday[[HOLIDAY]:[HOLIDAY]], 0))), holiday_rate_multiplier,
IF(WEEKDAY(L$9,2)=6, sat_rate_multiplier,
IF(WEEKDAY(L$9,2)=7, sun_rate_multiplier, 1))) * tblSchedule[[#This Row],[H_Mon]] * tblSchedule[[#This Row],[HourlyRate]:[HourlyRate]]</f>
        <v>0</v>
      </c>
      <c r="AH16" cm="1">
        <f t="array" ref="AH16">IF(NOT(ISERROR(MATCH(M$9, tblPublicHoliday[[HOLIDAY]:[HOLIDAY]], 0))), holiday_rate_multiplier,
IF(WEEKDAY(M$9,2)=6, sat_rate_multiplier,
IF(WEEKDAY(M$9,2)=7, sun_rate_multiplier, 1))) * tblSchedule[[#This Row],[H_Tue]] * tblSchedule[[#This Row],[HourlyRate]:[HourlyRate]]</f>
        <v>0</v>
      </c>
      <c r="AI16" cm="1">
        <f t="array" ref="AI16">IF(NOT(ISERROR(MATCH(N$9, tblPublicHoliday[[HOLIDAY]:[HOLIDAY]], 0))), holiday_rate_multiplier,
IF(WEEKDAY(N$9,2)=6, sat_rate_multiplier,
IF(WEEKDAY(N$9,2)=7, sun_rate_multiplier, 1))) * tblSchedule[[#This Row],[H_Wed]] * tblSchedule[[#This Row],[HourlyRate]:[HourlyRate]]</f>
        <v>223.99999999999994</v>
      </c>
      <c r="AJ16" cm="1">
        <f t="array" ref="AJ16">IF(NOT(ISERROR(MATCH(O$9, tblPublicHoliday[[HOLIDAY]:[HOLIDAY]], 0))), holiday_rate_multiplier,
IF(WEEKDAY(O$9,2)=6, sat_rate_multiplier,
IF(WEEKDAY(O$9,2)=7, sun_rate_multiplier, 1))) * tblSchedule[[#This Row],[H_Thu]] * tblSchedule[[#This Row],[HourlyRate]:[HourlyRate]]</f>
        <v>223.99999999999994</v>
      </c>
      <c r="AK16" cm="1">
        <f t="array" ref="AK16">IF(NOT(ISERROR(MATCH(P$9, tblPublicHoliday[[HOLIDAY]:[HOLIDAY]], 0))), holiday_rate_multiplier,
IF(WEEKDAY(P$9,2)=6, sat_rate_multiplier,
IF(WEEKDAY(P$9,2)=7, sun_rate_multiplier, 1))) * tblSchedule[[#This Row],[H_Fri]] * tblSchedule[[#This Row],[HourlyRate]:[HourlyRate]]</f>
        <v>223.99999999999994</v>
      </c>
      <c r="AL16" cm="1">
        <f t="array" ref="AL16">IF(NOT(ISERROR(MATCH(Q$9, tblPublicHoliday[[HOLIDAY]:[HOLIDAY]], 0))), holiday_rate_multiplier,
IF(WEEKDAY(Q$9,2)=6, sat_rate_multiplier,
IF(WEEKDAY(Q$9,2)=7, sun_rate_multiplier, 1))) * tblSchedule[[#This Row],[H_Sat]] * tblSchedule[[#This Row],[HourlyRate]:[HourlyRate]]</f>
        <v>336</v>
      </c>
      <c r="AM16" cm="1">
        <f t="array" ref="AM16">IF(NOT(ISERROR(MATCH(R$9, tblPublicHoliday[[HOLIDAY]:[HOLIDAY]], 0))), holiday_rate_multiplier,
IF(WEEKDAY(R$9,2)=6, sat_rate_multiplier,
IF(WEEKDAY(R$9,2)=7, sun_rate_multiplier, 1))) * tblSchedule[[#This Row],[H_Sun]] * tblSchedule[[#This Row],[HourlyRate]:[HourlyRate]]</f>
        <v>336</v>
      </c>
    </row>
    <row r="17" spans="1:39" x14ac:dyDescent="0.45">
      <c r="A17" t="s">
        <v>55</v>
      </c>
      <c r="B17" t="str" cm="1">
        <f t="array" ref="B17">IFERROR(INDEX(tblStaff[Role], MATCH(tblSchedule[[#This Row],[StaffName]:[StaffName]], tblStaff[[StaffName]:[StaffName]], 0)), "")</f>
        <v>Assistant Chef</v>
      </c>
      <c r="C17" t="str">
        <f>IFERROR(INDEX(tblRefRole[RoleCategory], MATCH(tblSchedule[[#This Row],[Role]], tblRefRole[Role], 0)), "")</f>
        <v>Chef</v>
      </c>
      <c r="D17" t="str" cm="1">
        <f t="array" ref="D17">IFERROR(INDEX(tblStaff[FullPart], MATCH(tblSchedule[[#This Row],[StaffName]:[StaffName]], tblStaff[[StaffName]:[StaffName]], 0)), "")</f>
        <v>Full Time</v>
      </c>
      <c r="E17" cm="1">
        <f t="array" ref="E17">IFERROR(INDEX(tblStaff[HourlyRate], MATCH(tblSchedule[[#This Row],[StaffName]:[StaffName]], tblStaff[[StaffName]:[StaffName]], 0)), "")</f>
        <v>28</v>
      </c>
      <c r="F17" cm="1">
        <f t="array" ref="F17">IFERROR(INDEX(tblStaff[MaxHourWeek], MATCH(tblSchedule[[#This Row],[StaffName]:[StaffName]], tblStaff[[StaffName]:[StaffName]], 0)), "")</f>
        <v>40</v>
      </c>
      <c r="G17">
        <f>IFERROR(SUM(tblSchedule[[#This Row],[H_Mon]:[H_Sun]]), 0)</f>
        <v>40</v>
      </c>
      <c r="H17" s="25" t="str">
        <f>_xlfn.CONCAT(IFERROR(GETPIVOTDATA("[Measures].[Sum of PremiumShift]",Setting!$G$17,"[tblHistory].[StaffName]","[tblHistory].[StaffName].&amp;[" &amp; tblSchedule[[#This Row],[StaffName]] &amp; "]"), 0), " / ", holiday_weekend_count)</f>
        <v>8 / 31</v>
      </c>
      <c r="I17" s="39">
        <f>IFERROR(GETPIVOTDATA("[Measures].[Sum of PremiumShift]",Setting!$G$17,"[tblHistory].[StaffName]","[tblHistory].[StaffName].&amp;["&amp; tblSchedule[[#This Row],[StaffName]]&amp;"]"), 0) / holiday_weekend_count</f>
        <v>0.25806451612903225</v>
      </c>
      <c r="J17" s="28">
        <f>SUM(tblSchedule[[#This Row],[WAGE_Mon]:[WAGE_Sun]])</f>
        <v>1120</v>
      </c>
      <c r="K17" s="17" t="s">
        <v>41</v>
      </c>
      <c r="L17" t="s">
        <v>44</v>
      </c>
      <c r="M17" t="s">
        <v>44</v>
      </c>
      <c r="N17" t="s">
        <v>44</v>
      </c>
      <c r="O17" t="s">
        <v>44</v>
      </c>
      <c r="P17" t="s">
        <v>44</v>
      </c>
      <c r="Q17" t="s">
        <v>41</v>
      </c>
      <c r="R17" t="s">
        <v>41</v>
      </c>
      <c r="S17">
        <f>INDEX(tblRefShift[[Hour]:[Hour]], MATCH(_xlfn.CONCAT(tblSchedule[[#This Row],[Role]:[Role]], "_", tblSchedule[[#This Row],[Mon]]), tblRefShift[[ShiftID]:[ShiftID]], 0))</f>
        <v>8</v>
      </c>
      <c r="T17">
        <f>INDEX(tblRefShift[[Hour]:[Hour]], MATCH(_xlfn.CONCAT(tblSchedule[[#This Row],[Role]:[Role]], "_", tblSchedule[[#This Row],[Tue]]), tblRefShift[[ShiftID]:[ShiftID]], 0))</f>
        <v>8</v>
      </c>
      <c r="U17">
        <f>INDEX(tblRefShift[[Hour]:[Hour]], MATCH(_xlfn.CONCAT(tblSchedule[[#This Row],[Role]:[Role]], "_", tblSchedule[[#This Row],[Wed]]), tblRefShift[[ShiftID]:[ShiftID]], 0))</f>
        <v>8</v>
      </c>
      <c r="V17">
        <f>INDEX(tblRefShift[[Hour]:[Hour]], MATCH(_xlfn.CONCAT(tblSchedule[[#This Row],[Role]:[Role]], "_", tblSchedule[[#This Row],[Thu]]), tblRefShift[[ShiftID]:[ShiftID]], 0))</f>
        <v>8</v>
      </c>
      <c r="W17">
        <f>INDEX(tblRefShift[[Hour]:[Hour]], MATCH(_xlfn.CONCAT(tblSchedule[[#This Row],[Role]:[Role]], "_", tblSchedule[[#This Row],[Fri]]), tblRefShift[[ShiftID]:[ShiftID]], 0))</f>
        <v>8</v>
      </c>
      <c r="X17">
        <f>INDEX(tblRefShift[[Hour]:[Hour]], MATCH(_xlfn.CONCAT(tblSchedule[[#This Row],[Role]:[Role]], "_", tblSchedule[[#This Row],[Sat]]), tblRefShift[[ShiftID]:[ShiftID]], 0))</f>
        <v>0</v>
      </c>
      <c r="Y17">
        <f>INDEX(tblRefShift[[Hour]:[Hour]], MATCH(_xlfn.CONCAT(tblSchedule[[#This Row],[Role]:[Role]], "_", tblSchedule[[#This Row],[Sun]]), tblRefShift[[ShiftID]:[ShiftID]], 0))</f>
        <v>0</v>
      </c>
      <c r="Z17" t="str">
        <f>IF(AND(LEFT(tblSchedule[[#This Row],[LW_Sun]], 1)="E", LEFT(tblSchedule[[#This Row],[Mon]], 1)="M"), "CLOPEN", "OK")</f>
        <v>OK</v>
      </c>
      <c r="AA17" t="str">
        <f>IF(AND(LEFT(tblSchedule[[#This Row],[Mon]], 1)="E", LEFT(tblSchedule[[#This Row],[Tue]], 1)="M"), "CLOPEN", "OK")</f>
        <v>OK</v>
      </c>
      <c r="AB17" t="str">
        <f>IF(AND(LEFT(tblSchedule[[#This Row],[Tue]], 1)="E", LEFT(tblSchedule[[#This Row],[Wed]], 1)="M"), "CLOPEN", "OK")</f>
        <v>OK</v>
      </c>
      <c r="AC17" t="str">
        <f>IF(AND(LEFT(tblSchedule[[#This Row],[Wed]], 1)="E", LEFT(tblSchedule[[#This Row],[Thu]], 1)="M"), "CLOPEN", "OK")</f>
        <v>OK</v>
      </c>
      <c r="AD17" t="str">
        <f>IF(AND(LEFT(tblSchedule[[#This Row],[Thu]], 1)="E", LEFT(tblSchedule[[#This Row],[Fri]], 1)="M"), "CLOPEN", "OK")</f>
        <v>OK</v>
      </c>
      <c r="AE17" t="str">
        <f>IF(AND(LEFT(tblSchedule[[#This Row],[Fri]], 1)="E", LEFT(tblSchedule[[#This Row],[Sat]], 1)="M"), "CLOPEN", "OK")</f>
        <v>OK</v>
      </c>
      <c r="AF17" t="str">
        <f>IF(AND(LEFT(tblSchedule[[#This Row],[Sat]], 1)="E", LEFT(tblSchedule[[#This Row],[Sun]], 1)="M"), "CLOPEN", "OK")</f>
        <v>OK</v>
      </c>
      <c r="AG17" cm="1">
        <f t="array" ref="AG17">IF(NOT(ISERROR(MATCH(L$9, tblPublicHoliday[[HOLIDAY]:[HOLIDAY]], 0))), holiday_rate_multiplier,
IF(WEEKDAY(L$9,2)=6, sat_rate_multiplier,
IF(WEEKDAY(L$9,2)=7, sun_rate_multiplier, 1))) * tblSchedule[[#This Row],[H_Mon]] * tblSchedule[[#This Row],[HourlyRate]:[HourlyRate]]</f>
        <v>224</v>
      </c>
      <c r="AH17" cm="1">
        <f t="array" ref="AH17">IF(NOT(ISERROR(MATCH(M$9, tblPublicHoliday[[HOLIDAY]:[HOLIDAY]], 0))), holiday_rate_multiplier,
IF(WEEKDAY(M$9,2)=6, sat_rate_multiplier,
IF(WEEKDAY(M$9,2)=7, sun_rate_multiplier, 1))) * tblSchedule[[#This Row],[H_Tue]] * tblSchedule[[#This Row],[HourlyRate]:[HourlyRate]]</f>
        <v>224</v>
      </c>
      <c r="AI17" cm="1">
        <f t="array" ref="AI17">IF(NOT(ISERROR(MATCH(N$9, tblPublicHoliday[[HOLIDAY]:[HOLIDAY]], 0))), holiday_rate_multiplier,
IF(WEEKDAY(N$9,2)=6, sat_rate_multiplier,
IF(WEEKDAY(N$9,2)=7, sun_rate_multiplier, 1))) * tblSchedule[[#This Row],[H_Wed]] * tblSchedule[[#This Row],[HourlyRate]:[HourlyRate]]</f>
        <v>224</v>
      </c>
      <c r="AJ17" cm="1">
        <f t="array" ref="AJ17">IF(NOT(ISERROR(MATCH(O$9, tblPublicHoliday[[HOLIDAY]:[HOLIDAY]], 0))), holiday_rate_multiplier,
IF(WEEKDAY(O$9,2)=6, sat_rate_multiplier,
IF(WEEKDAY(O$9,2)=7, sun_rate_multiplier, 1))) * tblSchedule[[#This Row],[H_Thu]] * tblSchedule[[#This Row],[HourlyRate]:[HourlyRate]]</f>
        <v>224</v>
      </c>
      <c r="AK17" cm="1">
        <f t="array" ref="AK17">IF(NOT(ISERROR(MATCH(P$9, tblPublicHoliday[[HOLIDAY]:[HOLIDAY]], 0))), holiday_rate_multiplier,
IF(WEEKDAY(P$9,2)=6, sat_rate_multiplier,
IF(WEEKDAY(P$9,2)=7, sun_rate_multiplier, 1))) * tblSchedule[[#This Row],[H_Fri]] * tblSchedule[[#This Row],[HourlyRate]:[HourlyRate]]</f>
        <v>224</v>
      </c>
      <c r="AL17" cm="1">
        <f t="array" ref="AL17">IF(NOT(ISERROR(MATCH(Q$9, tblPublicHoliday[[HOLIDAY]:[HOLIDAY]], 0))), holiday_rate_multiplier,
IF(WEEKDAY(Q$9,2)=6, sat_rate_multiplier,
IF(WEEKDAY(Q$9,2)=7, sun_rate_multiplier, 1))) * tblSchedule[[#This Row],[H_Sat]] * tblSchedule[[#This Row],[HourlyRate]:[HourlyRate]]</f>
        <v>0</v>
      </c>
      <c r="AM17" cm="1">
        <f t="array" ref="AM17">IF(NOT(ISERROR(MATCH(R$9, tblPublicHoliday[[HOLIDAY]:[HOLIDAY]], 0))), holiday_rate_multiplier,
IF(WEEKDAY(R$9,2)=6, sat_rate_multiplier,
IF(WEEKDAY(R$9,2)=7, sun_rate_multiplier, 1))) * tblSchedule[[#This Row],[H_Sun]] * tblSchedule[[#This Row],[HourlyRate]:[HourlyRate]]</f>
        <v>0</v>
      </c>
    </row>
    <row r="18" spans="1:39" x14ac:dyDescent="0.45">
      <c r="A18" t="s">
        <v>56</v>
      </c>
      <c r="B18" t="str" cm="1">
        <f t="array" ref="B18">IFERROR(INDEX(tblStaff[Role], MATCH(tblSchedule[[#This Row],[StaffName]:[StaffName]], tblStaff[[StaffName]:[StaffName]], 0)), "")</f>
        <v>Server</v>
      </c>
      <c r="C18" t="str">
        <f>IFERROR(INDEX(tblRefRole[RoleCategory], MATCH(tblSchedule[[#This Row],[Role]], tblRefRole[Role], 0)), "")</f>
        <v>Server</v>
      </c>
      <c r="D18" t="str" cm="1">
        <f t="array" ref="D18">IFERROR(INDEX(tblStaff[FullPart], MATCH(tblSchedule[[#This Row],[StaffName]:[StaffName]], tblStaff[[StaffName]:[StaffName]], 0)), "")</f>
        <v>Full Time</v>
      </c>
      <c r="E18" cm="1">
        <f t="array" ref="E18">IFERROR(INDEX(tblStaff[HourlyRate], MATCH(tblSchedule[[#This Row],[StaffName]:[StaffName]], tblStaff[[StaffName]:[StaffName]], 0)), "")</f>
        <v>20</v>
      </c>
      <c r="F18" cm="1">
        <f t="array" ref="F18">IFERROR(INDEX(tblStaff[MaxHourWeek], MATCH(tblSchedule[[#This Row],[StaffName]:[StaffName]], tblStaff[[StaffName]:[StaffName]], 0)), "")</f>
        <v>40</v>
      </c>
      <c r="G18">
        <f>IFERROR(SUM(tblSchedule[[#This Row],[H_Mon]:[H_Sun]]), 0)</f>
        <v>39.999999999999993</v>
      </c>
      <c r="H18" s="25" t="str">
        <f>_xlfn.CONCAT(IFERROR(GETPIVOTDATA("[Measures].[Sum of PremiumShift]",Setting!$G$17,"[tblHistory].[StaffName]","[tblHistory].[StaffName].&amp;[" &amp; tblSchedule[[#This Row],[StaffName]] &amp; "]"), 0), " / ", holiday_weekend_count)</f>
        <v>26 / 31</v>
      </c>
      <c r="I18" s="39">
        <f>IFERROR(GETPIVOTDATA("[Measures].[Sum of PremiumShift]",Setting!$G$17,"[tblHistory].[StaffName]","[tblHistory].[StaffName].&amp;["&amp; tblSchedule[[#This Row],[StaffName]]&amp;"]"), 0) / holiday_weekend_count</f>
        <v>0.83870967741935487</v>
      </c>
      <c r="J18" s="28">
        <f>SUM(tblSchedule[[#This Row],[WAGE_Mon]:[WAGE_Sun]])</f>
        <v>879.99999999999977</v>
      </c>
      <c r="K18" s="17" t="s">
        <v>45</v>
      </c>
      <c r="L18" t="s">
        <v>45</v>
      </c>
      <c r="M18" t="s">
        <v>45</v>
      </c>
      <c r="N18" t="s">
        <v>41</v>
      </c>
      <c r="O18" t="s">
        <v>45</v>
      </c>
      <c r="P18" t="s">
        <v>44</v>
      </c>
      <c r="Q18" t="s">
        <v>41</v>
      </c>
      <c r="R18" t="s">
        <v>45</v>
      </c>
      <c r="S18">
        <f>INDEX(tblRefShift[[Hour]:[Hour]], MATCH(_xlfn.CONCAT(tblSchedule[[#This Row],[Role]:[Role]], "_", tblSchedule[[#This Row],[Mon]]), tblRefShift[[ShiftID]:[ShiftID]], 0))</f>
        <v>7.9999999999999982</v>
      </c>
      <c r="T18">
        <f>INDEX(tblRefShift[[Hour]:[Hour]], MATCH(_xlfn.CONCAT(tblSchedule[[#This Row],[Role]:[Role]], "_", tblSchedule[[#This Row],[Tue]]), tblRefShift[[ShiftID]:[ShiftID]], 0))</f>
        <v>7.9999999999999982</v>
      </c>
      <c r="U18">
        <f>INDEX(tblRefShift[[Hour]:[Hour]], MATCH(_xlfn.CONCAT(tblSchedule[[#This Row],[Role]:[Role]], "_", tblSchedule[[#This Row],[Wed]]), tblRefShift[[ShiftID]:[ShiftID]], 0))</f>
        <v>0</v>
      </c>
      <c r="V18">
        <f>INDEX(tblRefShift[[Hour]:[Hour]], MATCH(_xlfn.CONCAT(tblSchedule[[#This Row],[Role]:[Role]], "_", tblSchedule[[#This Row],[Thu]]), tblRefShift[[ShiftID]:[ShiftID]], 0))</f>
        <v>7.9999999999999982</v>
      </c>
      <c r="W18">
        <f>INDEX(tblRefShift[[Hour]:[Hour]], MATCH(_xlfn.CONCAT(tblSchedule[[#This Row],[Role]:[Role]], "_", tblSchedule[[#This Row],[Fri]]), tblRefShift[[ShiftID]:[ShiftID]], 0))</f>
        <v>8</v>
      </c>
      <c r="X18">
        <f>INDEX(tblRefShift[[Hour]:[Hour]], MATCH(_xlfn.CONCAT(tblSchedule[[#This Row],[Role]:[Role]], "_", tblSchedule[[#This Row],[Sat]]), tblRefShift[[ShiftID]:[ShiftID]], 0))</f>
        <v>0</v>
      </c>
      <c r="Y18">
        <f>INDEX(tblRefShift[[Hour]:[Hour]], MATCH(_xlfn.CONCAT(tblSchedule[[#This Row],[Role]:[Role]], "_", tblSchedule[[#This Row],[Sun]]), tblRefShift[[ShiftID]:[ShiftID]], 0))</f>
        <v>7.9999999999999982</v>
      </c>
      <c r="Z18" t="str">
        <f>IF(AND(LEFT(tblSchedule[[#This Row],[LW_Sun]], 1)="E", LEFT(tblSchedule[[#This Row],[Mon]], 1)="M"), "CLOPEN", "OK")</f>
        <v>OK</v>
      </c>
      <c r="AA18" t="str">
        <f>IF(AND(LEFT(tblSchedule[[#This Row],[Mon]], 1)="E", LEFT(tblSchedule[[#This Row],[Tue]], 1)="M"), "CLOPEN", "OK")</f>
        <v>OK</v>
      </c>
      <c r="AB18" t="str">
        <f>IF(AND(LEFT(tblSchedule[[#This Row],[Tue]], 1)="E", LEFT(tblSchedule[[#This Row],[Wed]], 1)="M"), "CLOPEN", "OK")</f>
        <v>OK</v>
      </c>
      <c r="AC18" t="str">
        <f>IF(AND(LEFT(tblSchedule[[#This Row],[Wed]], 1)="E", LEFT(tblSchedule[[#This Row],[Thu]], 1)="M"), "CLOPEN", "OK")</f>
        <v>OK</v>
      </c>
      <c r="AD18" t="str">
        <f>IF(AND(LEFT(tblSchedule[[#This Row],[Thu]], 1)="E", LEFT(tblSchedule[[#This Row],[Fri]], 1)="M"), "CLOPEN", "OK")</f>
        <v>OK</v>
      </c>
      <c r="AE18" t="str">
        <f>IF(AND(LEFT(tblSchedule[[#This Row],[Fri]], 1)="E", LEFT(tblSchedule[[#This Row],[Sat]], 1)="M"), "CLOPEN", "OK")</f>
        <v>OK</v>
      </c>
      <c r="AF18" t="str">
        <f>IF(AND(LEFT(tblSchedule[[#This Row],[Sat]], 1)="E", LEFT(tblSchedule[[#This Row],[Sun]], 1)="M"), "CLOPEN", "OK")</f>
        <v>OK</v>
      </c>
      <c r="AG18" cm="1">
        <f t="array" ref="AG18">IF(NOT(ISERROR(MATCH(L$9, tblPublicHoliday[[HOLIDAY]:[HOLIDAY]], 0))), holiday_rate_multiplier,
IF(WEEKDAY(L$9,2)=6, sat_rate_multiplier,
IF(WEEKDAY(L$9,2)=7, sun_rate_multiplier, 1))) * tblSchedule[[#This Row],[H_Mon]] * tblSchedule[[#This Row],[HourlyRate]:[HourlyRate]]</f>
        <v>159.99999999999997</v>
      </c>
      <c r="AH18" cm="1">
        <f t="array" ref="AH18">IF(NOT(ISERROR(MATCH(M$9, tblPublicHoliday[[HOLIDAY]:[HOLIDAY]], 0))), holiday_rate_multiplier,
IF(WEEKDAY(M$9,2)=6, sat_rate_multiplier,
IF(WEEKDAY(M$9,2)=7, sun_rate_multiplier, 1))) * tblSchedule[[#This Row],[H_Tue]] * tblSchedule[[#This Row],[HourlyRate]:[HourlyRate]]</f>
        <v>159.99999999999997</v>
      </c>
      <c r="AI18" cm="1">
        <f t="array" ref="AI18">IF(NOT(ISERROR(MATCH(N$9, tblPublicHoliday[[HOLIDAY]:[HOLIDAY]], 0))), holiday_rate_multiplier,
IF(WEEKDAY(N$9,2)=6, sat_rate_multiplier,
IF(WEEKDAY(N$9,2)=7, sun_rate_multiplier, 1))) * tblSchedule[[#This Row],[H_Wed]] * tblSchedule[[#This Row],[HourlyRate]:[HourlyRate]]</f>
        <v>0</v>
      </c>
      <c r="AJ18" cm="1">
        <f t="array" ref="AJ18">IF(NOT(ISERROR(MATCH(O$9, tblPublicHoliday[[HOLIDAY]:[HOLIDAY]], 0))), holiday_rate_multiplier,
IF(WEEKDAY(O$9,2)=6, sat_rate_multiplier,
IF(WEEKDAY(O$9,2)=7, sun_rate_multiplier, 1))) * tblSchedule[[#This Row],[H_Thu]] * tblSchedule[[#This Row],[HourlyRate]:[HourlyRate]]</f>
        <v>159.99999999999997</v>
      </c>
      <c r="AK18" cm="1">
        <f t="array" ref="AK18">IF(NOT(ISERROR(MATCH(P$9, tblPublicHoliday[[HOLIDAY]:[HOLIDAY]], 0))), holiday_rate_multiplier,
IF(WEEKDAY(P$9,2)=6, sat_rate_multiplier,
IF(WEEKDAY(P$9,2)=7, sun_rate_multiplier, 1))) * tblSchedule[[#This Row],[H_Fri]] * tblSchedule[[#This Row],[HourlyRate]:[HourlyRate]]</f>
        <v>160</v>
      </c>
      <c r="AL18" cm="1">
        <f t="array" ref="AL18">IF(NOT(ISERROR(MATCH(Q$9, tblPublicHoliday[[HOLIDAY]:[HOLIDAY]], 0))), holiday_rate_multiplier,
IF(WEEKDAY(Q$9,2)=6, sat_rate_multiplier,
IF(WEEKDAY(Q$9,2)=7, sun_rate_multiplier, 1))) * tblSchedule[[#This Row],[H_Sat]] * tblSchedule[[#This Row],[HourlyRate]:[HourlyRate]]</f>
        <v>0</v>
      </c>
      <c r="AM18" cm="1">
        <f t="array" ref="AM18">IF(NOT(ISERROR(MATCH(R$9, tblPublicHoliday[[HOLIDAY]:[HOLIDAY]], 0))), holiday_rate_multiplier,
IF(WEEKDAY(R$9,2)=6, sat_rate_multiplier,
IF(WEEKDAY(R$9,2)=7, sun_rate_multiplier, 1))) * tblSchedule[[#This Row],[H_Sun]] * tblSchedule[[#This Row],[HourlyRate]:[HourlyRate]]</f>
        <v>239.99999999999994</v>
      </c>
    </row>
    <row r="19" spans="1:39" x14ac:dyDescent="0.45">
      <c r="A19" t="s">
        <v>57</v>
      </c>
      <c r="B19" t="str" cm="1">
        <f t="array" ref="B19">IFERROR(INDEX(tblStaff[Role], MATCH(tblSchedule[[#This Row],[StaffName]:[StaffName]], tblStaff[[StaffName]:[StaffName]], 0)), "")</f>
        <v>Server</v>
      </c>
      <c r="C19" t="str">
        <f>IFERROR(INDEX(tblRefRole[RoleCategory], MATCH(tblSchedule[[#This Row],[Role]], tblRefRole[Role], 0)), "")</f>
        <v>Server</v>
      </c>
      <c r="D19" t="str" cm="1">
        <f t="array" ref="D19">IFERROR(INDEX(tblStaff[FullPart], MATCH(tblSchedule[[#This Row],[StaffName]:[StaffName]], tblStaff[[StaffName]:[StaffName]], 0)), "")</f>
        <v>Full Time</v>
      </c>
      <c r="E19" cm="1">
        <f t="array" ref="E19">IFERROR(INDEX(tblStaff[HourlyRate], MATCH(tblSchedule[[#This Row],[StaffName]:[StaffName]], tblStaff[[StaffName]:[StaffName]], 0)), "")</f>
        <v>20</v>
      </c>
      <c r="F19" cm="1">
        <f t="array" ref="F19">IFERROR(INDEX(tblStaff[MaxHourWeek], MATCH(tblSchedule[[#This Row],[StaffName]:[StaffName]], tblStaff[[StaffName]:[StaffName]], 0)), "")</f>
        <v>40</v>
      </c>
      <c r="G19">
        <f>IFERROR(SUM(tblSchedule[[#This Row],[H_Mon]:[H_Sun]]), 0)</f>
        <v>37</v>
      </c>
      <c r="H19" s="25" t="str">
        <f>_xlfn.CONCAT(IFERROR(GETPIVOTDATA("[Measures].[Sum of PremiumShift]",Setting!$G$17,"[tblHistory].[StaffName]","[tblHistory].[StaffName].&amp;[" &amp; tblSchedule[[#This Row],[StaffName]] &amp; "]"), 0), " / ", holiday_weekend_count)</f>
        <v>5 / 31</v>
      </c>
      <c r="I19" s="39">
        <f>IFERROR(GETPIVOTDATA("[Measures].[Sum of PremiumShift]",Setting!$G$17,"[tblHistory].[StaffName]","[tblHistory].[StaffName].&amp;["&amp; tblSchedule[[#This Row],[StaffName]]&amp;"]"), 0) / holiday_weekend_count</f>
        <v>0.16129032258064516</v>
      </c>
      <c r="J19" s="28">
        <f>SUM(tblSchedule[[#This Row],[WAGE_Mon]:[WAGE_Sun]])</f>
        <v>790</v>
      </c>
      <c r="K19" s="17" t="s">
        <v>41</v>
      </c>
      <c r="L19" t="s">
        <v>44</v>
      </c>
      <c r="M19" t="s">
        <v>44</v>
      </c>
      <c r="N19" t="s">
        <v>44</v>
      </c>
      <c r="O19" t="s">
        <v>44</v>
      </c>
      <c r="P19" t="s">
        <v>41</v>
      </c>
      <c r="Q19" t="s">
        <v>39</v>
      </c>
      <c r="R19" t="s">
        <v>41</v>
      </c>
      <c r="S19">
        <f>INDEX(tblRefShift[[Hour]:[Hour]], MATCH(_xlfn.CONCAT(tblSchedule[[#This Row],[Role]:[Role]], "_", tblSchedule[[#This Row],[Mon]]), tblRefShift[[ShiftID]:[ShiftID]], 0))</f>
        <v>8</v>
      </c>
      <c r="T19">
        <f>INDEX(tblRefShift[[Hour]:[Hour]], MATCH(_xlfn.CONCAT(tblSchedule[[#This Row],[Role]:[Role]], "_", tblSchedule[[#This Row],[Tue]]), tblRefShift[[ShiftID]:[ShiftID]], 0))</f>
        <v>8</v>
      </c>
      <c r="U19">
        <f>INDEX(tblRefShift[[Hour]:[Hour]], MATCH(_xlfn.CONCAT(tblSchedule[[#This Row],[Role]:[Role]], "_", tblSchedule[[#This Row],[Wed]]), tblRefShift[[ShiftID]:[ShiftID]], 0))</f>
        <v>8</v>
      </c>
      <c r="V19">
        <f>INDEX(tblRefShift[[Hour]:[Hour]], MATCH(_xlfn.CONCAT(tblSchedule[[#This Row],[Role]:[Role]], "_", tblSchedule[[#This Row],[Thu]]), tblRefShift[[ShiftID]:[ShiftID]], 0))</f>
        <v>8</v>
      </c>
      <c r="W19">
        <f>INDEX(tblRefShift[[Hour]:[Hour]], MATCH(_xlfn.CONCAT(tblSchedule[[#This Row],[Role]:[Role]], "_", tblSchedule[[#This Row],[Fri]]), tblRefShift[[ShiftID]:[ShiftID]], 0))</f>
        <v>0</v>
      </c>
      <c r="X19">
        <f>INDEX(tblRefShift[[Hour]:[Hour]], MATCH(_xlfn.CONCAT(tblSchedule[[#This Row],[Role]:[Role]], "_", tblSchedule[[#This Row],[Sat]]), tblRefShift[[ShiftID]:[ShiftID]], 0))</f>
        <v>4.9999999999999982</v>
      </c>
      <c r="Y19">
        <f>INDEX(tblRefShift[[Hour]:[Hour]], MATCH(_xlfn.CONCAT(tblSchedule[[#This Row],[Role]:[Role]], "_", tblSchedule[[#This Row],[Sun]]), tblRefShift[[ShiftID]:[ShiftID]], 0))</f>
        <v>0</v>
      </c>
      <c r="Z19" t="str">
        <f>IF(AND(LEFT(tblSchedule[[#This Row],[LW_Sun]], 1)="E", LEFT(tblSchedule[[#This Row],[Mon]], 1)="M"), "CLOPEN", "OK")</f>
        <v>OK</v>
      </c>
      <c r="AA19" t="str">
        <f>IF(AND(LEFT(tblSchedule[[#This Row],[Mon]], 1)="E", LEFT(tblSchedule[[#This Row],[Tue]], 1)="M"), "CLOPEN", "OK")</f>
        <v>OK</v>
      </c>
      <c r="AB19" t="str">
        <f>IF(AND(LEFT(tblSchedule[[#This Row],[Tue]], 1)="E", LEFT(tblSchedule[[#This Row],[Wed]], 1)="M"), "CLOPEN", "OK")</f>
        <v>OK</v>
      </c>
      <c r="AC19" t="str">
        <f>IF(AND(LEFT(tblSchedule[[#This Row],[Wed]], 1)="E", LEFT(tblSchedule[[#This Row],[Thu]], 1)="M"), "CLOPEN", "OK")</f>
        <v>OK</v>
      </c>
      <c r="AD19" t="str">
        <f>IF(AND(LEFT(tblSchedule[[#This Row],[Thu]], 1)="E", LEFT(tblSchedule[[#This Row],[Fri]], 1)="M"), "CLOPEN", "OK")</f>
        <v>OK</v>
      </c>
      <c r="AE19" t="str">
        <f>IF(AND(LEFT(tblSchedule[[#This Row],[Fri]], 1)="E", LEFT(tblSchedule[[#This Row],[Sat]], 1)="M"), "CLOPEN", "OK")</f>
        <v>OK</v>
      </c>
      <c r="AF19" t="str">
        <f>IF(AND(LEFT(tblSchedule[[#This Row],[Sat]], 1)="E", LEFT(tblSchedule[[#This Row],[Sun]], 1)="M"), "CLOPEN", "OK")</f>
        <v>OK</v>
      </c>
      <c r="AG19" cm="1">
        <f t="array" ref="AG19">IF(NOT(ISERROR(MATCH(L$9, tblPublicHoliday[[HOLIDAY]:[HOLIDAY]], 0))), holiday_rate_multiplier,
IF(WEEKDAY(L$9,2)=6, sat_rate_multiplier,
IF(WEEKDAY(L$9,2)=7, sun_rate_multiplier, 1))) * tblSchedule[[#This Row],[H_Mon]] * tblSchedule[[#This Row],[HourlyRate]:[HourlyRate]]</f>
        <v>160</v>
      </c>
      <c r="AH19" cm="1">
        <f t="array" ref="AH19">IF(NOT(ISERROR(MATCH(M$9, tblPublicHoliday[[HOLIDAY]:[HOLIDAY]], 0))), holiday_rate_multiplier,
IF(WEEKDAY(M$9,2)=6, sat_rate_multiplier,
IF(WEEKDAY(M$9,2)=7, sun_rate_multiplier, 1))) * tblSchedule[[#This Row],[H_Tue]] * tblSchedule[[#This Row],[HourlyRate]:[HourlyRate]]</f>
        <v>160</v>
      </c>
      <c r="AI19" cm="1">
        <f t="array" ref="AI19">IF(NOT(ISERROR(MATCH(N$9, tblPublicHoliday[[HOLIDAY]:[HOLIDAY]], 0))), holiday_rate_multiplier,
IF(WEEKDAY(N$9,2)=6, sat_rate_multiplier,
IF(WEEKDAY(N$9,2)=7, sun_rate_multiplier, 1))) * tblSchedule[[#This Row],[H_Wed]] * tblSchedule[[#This Row],[HourlyRate]:[HourlyRate]]</f>
        <v>160</v>
      </c>
      <c r="AJ19" cm="1">
        <f t="array" ref="AJ19">IF(NOT(ISERROR(MATCH(O$9, tblPublicHoliday[[HOLIDAY]:[HOLIDAY]], 0))), holiday_rate_multiplier,
IF(WEEKDAY(O$9,2)=6, sat_rate_multiplier,
IF(WEEKDAY(O$9,2)=7, sun_rate_multiplier, 1))) * tblSchedule[[#This Row],[H_Thu]] * tblSchedule[[#This Row],[HourlyRate]:[HourlyRate]]</f>
        <v>160</v>
      </c>
      <c r="AK19" cm="1">
        <f t="array" ref="AK19">IF(NOT(ISERROR(MATCH(P$9, tblPublicHoliday[[HOLIDAY]:[HOLIDAY]], 0))), holiday_rate_multiplier,
IF(WEEKDAY(P$9,2)=6, sat_rate_multiplier,
IF(WEEKDAY(P$9,2)=7, sun_rate_multiplier, 1))) * tblSchedule[[#This Row],[H_Fri]] * tblSchedule[[#This Row],[HourlyRate]:[HourlyRate]]</f>
        <v>0</v>
      </c>
      <c r="AL19" cm="1">
        <f t="array" ref="AL19">IF(NOT(ISERROR(MATCH(Q$9, tblPublicHoliday[[HOLIDAY]:[HOLIDAY]], 0))), holiday_rate_multiplier,
IF(WEEKDAY(Q$9,2)=6, sat_rate_multiplier,
IF(WEEKDAY(Q$9,2)=7, sun_rate_multiplier, 1))) * tblSchedule[[#This Row],[H_Sat]] * tblSchedule[[#This Row],[HourlyRate]:[HourlyRate]]</f>
        <v>149.99999999999994</v>
      </c>
      <c r="AM19" cm="1">
        <f t="array" ref="AM19">IF(NOT(ISERROR(MATCH(R$9, tblPublicHoliday[[HOLIDAY]:[HOLIDAY]], 0))), holiday_rate_multiplier,
IF(WEEKDAY(R$9,2)=6, sat_rate_multiplier,
IF(WEEKDAY(R$9,2)=7, sun_rate_multiplier, 1))) * tblSchedule[[#This Row],[H_Sun]] * tblSchedule[[#This Row],[HourlyRate]:[HourlyRate]]</f>
        <v>0</v>
      </c>
    </row>
    <row r="20" spans="1:39" x14ac:dyDescent="0.45">
      <c r="A20" t="s">
        <v>58</v>
      </c>
      <c r="B20" t="str" cm="1">
        <f t="array" ref="B20">IFERROR(INDEX(tblStaff[Role], MATCH(tblSchedule[[#This Row],[StaffName]:[StaffName]], tblStaff[[StaffName]:[StaffName]], 0)), "")</f>
        <v>Server</v>
      </c>
      <c r="C20" t="str">
        <f>IFERROR(INDEX(tblRefRole[RoleCategory], MATCH(tblSchedule[[#This Row],[Role]], tblRefRole[Role], 0)), "")</f>
        <v>Server</v>
      </c>
      <c r="D20" t="str" cm="1">
        <f t="array" ref="D20">IFERROR(INDEX(tblStaff[FullPart], MATCH(tblSchedule[[#This Row],[StaffName]:[StaffName]], tblStaff[[StaffName]:[StaffName]], 0)), "")</f>
        <v>Full Time</v>
      </c>
      <c r="E20" cm="1">
        <f t="array" ref="E20">IFERROR(INDEX(tblStaff[HourlyRate], MATCH(tblSchedule[[#This Row],[StaffName]:[StaffName]], tblStaff[[StaffName]:[StaffName]], 0)), "")</f>
        <v>20</v>
      </c>
      <c r="F20" cm="1">
        <f t="array" ref="F20">IFERROR(INDEX(tblStaff[MaxHourWeek], MATCH(tblSchedule[[#This Row],[StaffName]:[StaffName]], tblStaff[[StaffName]:[StaffName]], 0)), "")</f>
        <v>40</v>
      </c>
      <c r="G20">
        <f>IFERROR(SUM(tblSchedule[[#This Row],[H_Mon]:[H_Sun]]), 0)</f>
        <v>29</v>
      </c>
      <c r="H20" s="25" t="str">
        <f>_xlfn.CONCAT(IFERROR(GETPIVOTDATA("[Measures].[Sum of PremiumShift]",Setting!$G$17,"[tblHistory].[StaffName]","[tblHistory].[StaffName].&amp;[" &amp; tblSchedule[[#This Row],[StaffName]] &amp; "]"), 0), " / ", holiday_weekend_count)</f>
        <v>30 / 31</v>
      </c>
      <c r="I20" s="39">
        <f>IFERROR(GETPIVOTDATA("[Measures].[Sum of PremiumShift]",Setting!$G$17,"[tblHistory].[StaffName]","[tblHistory].[StaffName].&amp;["&amp; tblSchedule[[#This Row],[StaffName]]&amp;"]"), 0) / holiday_weekend_count</f>
        <v>0.967741935483871</v>
      </c>
      <c r="J20" s="28">
        <f>SUM(tblSchedule[[#This Row],[WAGE_Mon]:[WAGE_Sun]])</f>
        <v>740</v>
      </c>
      <c r="K20" s="17" t="s">
        <v>44</v>
      </c>
      <c r="L20" t="s">
        <v>41</v>
      </c>
      <c r="M20" t="s">
        <v>41</v>
      </c>
      <c r="N20" t="s">
        <v>41</v>
      </c>
      <c r="O20" t="s">
        <v>44</v>
      </c>
      <c r="P20" t="s">
        <v>46</v>
      </c>
      <c r="Q20" t="s">
        <v>44</v>
      </c>
      <c r="R20" t="s">
        <v>44</v>
      </c>
      <c r="S20">
        <f>INDEX(tblRefShift[[Hour]:[Hour]], MATCH(_xlfn.CONCAT(tblSchedule[[#This Row],[Role]:[Role]], "_", tblSchedule[[#This Row],[Mon]]), tblRefShift[[ShiftID]:[ShiftID]], 0))</f>
        <v>0</v>
      </c>
      <c r="T20">
        <f>INDEX(tblRefShift[[Hour]:[Hour]], MATCH(_xlfn.CONCAT(tblSchedule[[#This Row],[Role]:[Role]], "_", tblSchedule[[#This Row],[Tue]]), tblRefShift[[ShiftID]:[ShiftID]], 0))</f>
        <v>0</v>
      </c>
      <c r="U20">
        <f>INDEX(tblRefShift[[Hour]:[Hour]], MATCH(_xlfn.CONCAT(tblSchedule[[#This Row],[Role]:[Role]], "_", tblSchedule[[#This Row],[Wed]]), tblRefShift[[ShiftID]:[ShiftID]], 0))</f>
        <v>0</v>
      </c>
      <c r="V20">
        <f>INDEX(tblRefShift[[Hour]:[Hour]], MATCH(_xlfn.CONCAT(tblSchedule[[#This Row],[Role]:[Role]], "_", tblSchedule[[#This Row],[Thu]]), tblRefShift[[ShiftID]:[ShiftID]], 0))</f>
        <v>8</v>
      </c>
      <c r="W20">
        <f>INDEX(tblRefShift[[Hour]:[Hour]], MATCH(_xlfn.CONCAT(tblSchedule[[#This Row],[Role]:[Role]], "_", tblSchedule[[#This Row],[Fri]]), tblRefShift[[ShiftID]:[ShiftID]], 0))</f>
        <v>4.9999999999999982</v>
      </c>
      <c r="X20">
        <f>INDEX(tblRefShift[[Hour]:[Hour]], MATCH(_xlfn.CONCAT(tblSchedule[[#This Row],[Role]:[Role]], "_", tblSchedule[[#This Row],[Sat]]), tblRefShift[[ShiftID]:[ShiftID]], 0))</f>
        <v>8</v>
      </c>
      <c r="Y20">
        <f>INDEX(tblRefShift[[Hour]:[Hour]], MATCH(_xlfn.CONCAT(tblSchedule[[#This Row],[Role]:[Role]], "_", tblSchedule[[#This Row],[Sun]]), tblRefShift[[ShiftID]:[ShiftID]], 0))</f>
        <v>8</v>
      </c>
      <c r="Z20" t="str">
        <f>IF(AND(LEFT(tblSchedule[[#This Row],[LW_Sun]], 1)="E", LEFT(tblSchedule[[#This Row],[Mon]], 1)="M"), "CLOPEN", "OK")</f>
        <v>OK</v>
      </c>
      <c r="AA20" t="str">
        <f>IF(AND(LEFT(tblSchedule[[#This Row],[Mon]], 1)="E", LEFT(tblSchedule[[#This Row],[Tue]], 1)="M"), "CLOPEN", "OK")</f>
        <v>OK</v>
      </c>
      <c r="AB20" t="str">
        <f>IF(AND(LEFT(tblSchedule[[#This Row],[Tue]], 1)="E", LEFT(tblSchedule[[#This Row],[Wed]], 1)="M"), "CLOPEN", "OK")</f>
        <v>OK</v>
      </c>
      <c r="AC20" t="str">
        <f>IF(AND(LEFT(tblSchedule[[#This Row],[Wed]], 1)="E", LEFT(tblSchedule[[#This Row],[Thu]], 1)="M"), "CLOPEN", "OK")</f>
        <v>OK</v>
      </c>
      <c r="AD20" t="str">
        <f>IF(AND(LEFT(tblSchedule[[#This Row],[Thu]], 1)="E", LEFT(tblSchedule[[#This Row],[Fri]], 1)="M"), "CLOPEN", "OK")</f>
        <v>OK</v>
      </c>
      <c r="AE20" t="str">
        <f>IF(AND(LEFT(tblSchedule[[#This Row],[Fri]], 1)="E", LEFT(tblSchedule[[#This Row],[Sat]], 1)="M"), "CLOPEN", "OK")</f>
        <v>OK</v>
      </c>
      <c r="AF20" t="str">
        <f>IF(AND(LEFT(tblSchedule[[#This Row],[Sat]], 1)="E", LEFT(tblSchedule[[#This Row],[Sun]], 1)="M"), "CLOPEN", "OK")</f>
        <v>OK</v>
      </c>
      <c r="AG20" cm="1">
        <f t="array" ref="AG20">IF(NOT(ISERROR(MATCH(L$9, tblPublicHoliday[[HOLIDAY]:[HOLIDAY]], 0))), holiday_rate_multiplier,
IF(WEEKDAY(L$9,2)=6, sat_rate_multiplier,
IF(WEEKDAY(L$9,2)=7, sun_rate_multiplier, 1))) * tblSchedule[[#This Row],[H_Mon]] * tblSchedule[[#This Row],[HourlyRate]:[HourlyRate]]</f>
        <v>0</v>
      </c>
      <c r="AH20" cm="1">
        <f t="array" ref="AH20">IF(NOT(ISERROR(MATCH(M$9, tblPublicHoliday[[HOLIDAY]:[HOLIDAY]], 0))), holiday_rate_multiplier,
IF(WEEKDAY(M$9,2)=6, sat_rate_multiplier,
IF(WEEKDAY(M$9,2)=7, sun_rate_multiplier, 1))) * tblSchedule[[#This Row],[H_Tue]] * tblSchedule[[#This Row],[HourlyRate]:[HourlyRate]]</f>
        <v>0</v>
      </c>
      <c r="AI20" cm="1">
        <f t="array" ref="AI20">IF(NOT(ISERROR(MATCH(N$9, tblPublicHoliday[[HOLIDAY]:[HOLIDAY]], 0))), holiday_rate_multiplier,
IF(WEEKDAY(N$9,2)=6, sat_rate_multiplier,
IF(WEEKDAY(N$9,2)=7, sun_rate_multiplier, 1))) * tblSchedule[[#This Row],[H_Wed]] * tblSchedule[[#This Row],[HourlyRate]:[HourlyRate]]</f>
        <v>0</v>
      </c>
      <c r="AJ20" cm="1">
        <f t="array" ref="AJ20">IF(NOT(ISERROR(MATCH(O$9, tblPublicHoliday[[HOLIDAY]:[HOLIDAY]], 0))), holiday_rate_multiplier,
IF(WEEKDAY(O$9,2)=6, sat_rate_multiplier,
IF(WEEKDAY(O$9,2)=7, sun_rate_multiplier, 1))) * tblSchedule[[#This Row],[H_Thu]] * tblSchedule[[#This Row],[HourlyRate]:[HourlyRate]]</f>
        <v>160</v>
      </c>
      <c r="AK20" cm="1">
        <f t="array" ref="AK20">IF(NOT(ISERROR(MATCH(P$9, tblPublicHoliday[[HOLIDAY]:[HOLIDAY]], 0))), holiday_rate_multiplier,
IF(WEEKDAY(P$9,2)=6, sat_rate_multiplier,
IF(WEEKDAY(P$9,2)=7, sun_rate_multiplier, 1))) * tblSchedule[[#This Row],[H_Fri]] * tblSchedule[[#This Row],[HourlyRate]:[HourlyRate]]</f>
        <v>99.999999999999972</v>
      </c>
      <c r="AL20" cm="1">
        <f t="array" ref="AL20">IF(NOT(ISERROR(MATCH(Q$9, tblPublicHoliday[[HOLIDAY]:[HOLIDAY]], 0))), holiday_rate_multiplier,
IF(WEEKDAY(Q$9,2)=6, sat_rate_multiplier,
IF(WEEKDAY(Q$9,2)=7, sun_rate_multiplier, 1))) * tblSchedule[[#This Row],[H_Sat]] * tblSchedule[[#This Row],[HourlyRate]:[HourlyRate]]</f>
        <v>240</v>
      </c>
      <c r="AM20" cm="1">
        <f t="array" ref="AM20">IF(NOT(ISERROR(MATCH(R$9, tblPublicHoliday[[HOLIDAY]:[HOLIDAY]], 0))), holiday_rate_multiplier,
IF(WEEKDAY(R$9,2)=6, sat_rate_multiplier,
IF(WEEKDAY(R$9,2)=7, sun_rate_multiplier, 1))) * tblSchedule[[#This Row],[H_Sun]] * tblSchedule[[#This Row],[HourlyRate]:[HourlyRate]]</f>
        <v>240</v>
      </c>
    </row>
    <row r="21" spans="1:39" x14ac:dyDescent="0.45">
      <c r="A21" t="s">
        <v>59</v>
      </c>
      <c r="B21" t="str" cm="1">
        <f t="array" ref="B21">IFERROR(INDEX(tblStaff[Role], MATCH(tblSchedule[[#This Row],[StaffName]:[StaffName]], tblStaff[[StaffName]:[StaffName]], 0)), "")</f>
        <v>Server</v>
      </c>
      <c r="C21" t="str">
        <f>IFERROR(INDEX(tblRefRole[RoleCategory], MATCH(tblSchedule[[#This Row],[Role]], tblRefRole[Role], 0)), "")</f>
        <v>Server</v>
      </c>
      <c r="D21" t="str" cm="1">
        <f t="array" ref="D21">IFERROR(INDEX(tblStaff[FullPart], MATCH(tblSchedule[[#This Row],[StaffName]:[StaffName]], tblStaff[[StaffName]:[StaffName]], 0)), "")</f>
        <v>Part Time</v>
      </c>
      <c r="E21" cm="1">
        <f t="array" ref="E21">IFERROR(INDEX(tblStaff[HourlyRate], MATCH(tblSchedule[[#This Row],[StaffName]:[StaffName]], tblStaff[[StaffName]:[StaffName]], 0)), "")</f>
        <v>15</v>
      </c>
      <c r="F21" cm="1">
        <f t="array" ref="F21">IFERROR(INDEX(tblStaff[MaxHourWeek], MATCH(tblSchedule[[#This Row],[StaffName]:[StaffName]], tblStaff[[StaffName]:[StaffName]], 0)), "")</f>
        <v>20</v>
      </c>
      <c r="G21">
        <f>IFERROR(SUM(tblSchedule[[#This Row],[H_Mon]:[H_Sun]]), 0)</f>
        <v>19.999999999999993</v>
      </c>
      <c r="H21" s="25" t="str">
        <f>_xlfn.CONCAT(IFERROR(GETPIVOTDATA("[Measures].[Sum of PremiumShift]",Setting!$G$17,"[tblHistory].[StaffName]","[tblHistory].[StaffName].&amp;[" &amp; tblSchedule[[#This Row],[StaffName]] &amp; "]"), 0), " / ", holiday_weekend_count)</f>
        <v>10 / 31</v>
      </c>
      <c r="I21" s="39">
        <f>IFERROR(GETPIVOTDATA("[Measures].[Sum of PremiumShift]",Setting!$G$17,"[tblHistory].[StaffName]","[tblHistory].[StaffName].&amp;["&amp; tblSchedule[[#This Row],[StaffName]]&amp;"]"), 0) / holiday_weekend_count</f>
        <v>0.32258064516129031</v>
      </c>
      <c r="J21" s="28">
        <f>SUM(tblSchedule[[#This Row],[WAGE_Mon]:[WAGE_Sun]])</f>
        <v>337.49999999999989</v>
      </c>
      <c r="K21" s="17" t="s">
        <v>41</v>
      </c>
      <c r="L21" t="s">
        <v>41</v>
      </c>
      <c r="M21" t="s">
        <v>46</v>
      </c>
      <c r="N21" t="s">
        <v>46</v>
      </c>
      <c r="O21" t="s">
        <v>41</v>
      </c>
      <c r="P21" t="s">
        <v>46</v>
      </c>
      <c r="Q21" t="s">
        <v>46</v>
      </c>
      <c r="R21" t="s">
        <v>41</v>
      </c>
      <c r="S21">
        <f>INDEX(tblRefShift[[Hour]:[Hour]], MATCH(_xlfn.CONCAT(tblSchedule[[#This Row],[Role]:[Role]], "_", tblSchedule[[#This Row],[Mon]]), tblRefShift[[ShiftID]:[ShiftID]], 0))</f>
        <v>0</v>
      </c>
      <c r="T21">
        <f>INDEX(tblRefShift[[Hour]:[Hour]], MATCH(_xlfn.CONCAT(tblSchedule[[#This Row],[Role]:[Role]], "_", tblSchedule[[#This Row],[Tue]]), tblRefShift[[ShiftID]:[ShiftID]], 0))</f>
        <v>4.9999999999999982</v>
      </c>
      <c r="U21">
        <f>INDEX(tblRefShift[[Hour]:[Hour]], MATCH(_xlfn.CONCAT(tblSchedule[[#This Row],[Role]:[Role]], "_", tblSchedule[[#This Row],[Wed]]), tblRefShift[[ShiftID]:[ShiftID]], 0))</f>
        <v>4.9999999999999982</v>
      </c>
      <c r="V21">
        <f>INDEX(tblRefShift[[Hour]:[Hour]], MATCH(_xlfn.CONCAT(tblSchedule[[#This Row],[Role]:[Role]], "_", tblSchedule[[#This Row],[Thu]]), tblRefShift[[ShiftID]:[ShiftID]], 0))</f>
        <v>0</v>
      </c>
      <c r="W21">
        <f>INDEX(tblRefShift[[Hour]:[Hour]], MATCH(_xlfn.CONCAT(tblSchedule[[#This Row],[Role]:[Role]], "_", tblSchedule[[#This Row],[Fri]]), tblRefShift[[ShiftID]:[ShiftID]], 0))</f>
        <v>4.9999999999999982</v>
      </c>
      <c r="X21">
        <f>INDEX(tblRefShift[[Hour]:[Hour]], MATCH(_xlfn.CONCAT(tblSchedule[[#This Row],[Role]:[Role]], "_", tblSchedule[[#This Row],[Sat]]), tblRefShift[[ShiftID]:[ShiftID]], 0))</f>
        <v>4.9999999999999982</v>
      </c>
      <c r="Y21">
        <f>INDEX(tblRefShift[[Hour]:[Hour]], MATCH(_xlfn.CONCAT(tblSchedule[[#This Row],[Role]:[Role]], "_", tblSchedule[[#This Row],[Sun]]), tblRefShift[[ShiftID]:[ShiftID]], 0))</f>
        <v>0</v>
      </c>
      <c r="Z21" t="str">
        <f>IF(AND(LEFT(tblSchedule[[#This Row],[LW_Sun]], 1)="E", LEFT(tblSchedule[[#This Row],[Mon]], 1)="M"), "CLOPEN", "OK")</f>
        <v>OK</v>
      </c>
      <c r="AA21" t="str">
        <f>IF(AND(LEFT(tblSchedule[[#This Row],[Mon]], 1)="E", LEFT(tblSchedule[[#This Row],[Tue]], 1)="M"), "CLOPEN", "OK")</f>
        <v>OK</v>
      </c>
      <c r="AB21" t="str">
        <f>IF(AND(LEFT(tblSchedule[[#This Row],[Tue]], 1)="E", LEFT(tblSchedule[[#This Row],[Wed]], 1)="M"), "CLOPEN", "OK")</f>
        <v>OK</v>
      </c>
      <c r="AC21" t="str">
        <f>IF(AND(LEFT(tblSchedule[[#This Row],[Wed]], 1)="E", LEFT(tblSchedule[[#This Row],[Thu]], 1)="M"), "CLOPEN", "OK")</f>
        <v>OK</v>
      </c>
      <c r="AD21" t="str">
        <f>IF(AND(LEFT(tblSchedule[[#This Row],[Thu]], 1)="E", LEFT(tblSchedule[[#This Row],[Fri]], 1)="M"), "CLOPEN", "OK")</f>
        <v>OK</v>
      </c>
      <c r="AE21" t="str">
        <f>IF(AND(LEFT(tblSchedule[[#This Row],[Fri]], 1)="E", LEFT(tblSchedule[[#This Row],[Sat]], 1)="M"), "CLOPEN", "OK")</f>
        <v>OK</v>
      </c>
      <c r="AF21" t="str">
        <f>IF(AND(LEFT(tblSchedule[[#This Row],[Sat]], 1)="E", LEFT(tblSchedule[[#This Row],[Sun]], 1)="M"), "CLOPEN", "OK")</f>
        <v>OK</v>
      </c>
      <c r="AG21" cm="1">
        <f t="array" ref="AG21">IF(NOT(ISERROR(MATCH(L$9, tblPublicHoliday[[HOLIDAY]:[HOLIDAY]], 0))), holiday_rate_multiplier,
IF(WEEKDAY(L$9,2)=6, sat_rate_multiplier,
IF(WEEKDAY(L$9,2)=7, sun_rate_multiplier, 1))) * tblSchedule[[#This Row],[H_Mon]] * tblSchedule[[#This Row],[HourlyRate]:[HourlyRate]]</f>
        <v>0</v>
      </c>
      <c r="AH21" cm="1">
        <f t="array" ref="AH21">IF(NOT(ISERROR(MATCH(M$9, tblPublicHoliday[[HOLIDAY]:[HOLIDAY]], 0))), holiday_rate_multiplier,
IF(WEEKDAY(M$9,2)=6, sat_rate_multiplier,
IF(WEEKDAY(M$9,2)=7, sun_rate_multiplier, 1))) * tblSchedule[[#This Row],[H_Tue]] * tblSchedule[[#This Row],[HourlyRate]:[HourlyRate]]</f>
        <v>74.999999999999972</v>
      </c>
      <c r="AI21" cm="1">
        <f t="array" ref="AI21">IF(NOT(ISERROR(MATCH(N$9, tblPublicHoliday[[HOLIDAY]:[HOLIDAY]], 0))), holiday_rate_multiplier,
IF(WEEKDAY(N$9,2)=6, sat_rate_multiplier,
IF(WEEKDAY(N$9,2)=7, sun_rate_multiplier, 1))) * tblSchedule[[#This Row],[H_Wed]] * tblSchedule[[#This Row],[HourlyRate]:[HourlyRate]]</f>
        <v>74.999999999999972</v>
      </c>
      <c r="AJ21" cm="1">
        <f t="array" ref="AJ21">IF(NOT(ISERROR(MATCH(O$9, tblPublicHoliday[[HOLIDAY]:[HOLIDAY]], 0))), holiday_rate_multiplier,
IF(WEEKDAY(O$9,2)=6, sat_rate_multiplier,
IF(WEEKDAY(O$9,2)=7, sun_rate_multiplier, 1))) * tblSchedule[[#This Row],[H_Thu]] * tblSchedule[[#This Row],[HourlyRate]:[HourlyRate]]</f>
        <v>0</v>
      </c>
      <c r="AK21" cm="1">
        <f t="array" ref="AK21">IF(NOT(ISERROR(MATCH(P$9, tblPublicHoliday[[HOLIDAY]:[HOLIDAY]], 0))), holiday_rate_multiplier,
IF(WEEKDAY(P$9,2)=6, sat_rate_multiplier,
IF(WEEKDAY(P$9,2)=7, sun_rate_multiplier, 1))) * tblSchedule[[#This Row],[H_Fri]] * tblSchedule[[#This Row],[HourlyRate]:[HourlyRate]]</f>
        <v>74.999999999999972</v>
      </c>
      <c r="AL21" cm="1">
        <f t="array" ref="AL21">IF(NOT(ISERROR(MATCH(Q$9, tblPublicHoliday[[HOLIDAY]:[HOLIDAY]], 0))), holiday_rate_multiplier,
IF(WEEKDAY(Q$9,2)=6, sat_rate_multiplier,
IF(WEEKDAY(Q$9,2)=7, sun_rate_multiplier, 1))) * tblSchedule[[#This Row],[H_Sat]] * tblSchedule[[#This Row],[HourlyRate]:[HourlyRate]]</f>
        <v>112.49999999999996</v>
      </c>
      <c r="AM21" cm="1">
        <f t="array" ref="AM21">IF(NOT(ISERROR(MATCH(R$9, tblPublicHoliday[[HOLIDAY]:[HOLIDAY]], 0))), holiday_rate_multiplier,
IF(WEEKDAY(R$9,2)=6, sat_rate_multiplier,
IF(WEEKDAY(R$9,2)=7, sun_rate_multiplier, 1))) * tblSchedule[[#This Row],[H_Sun]] * tblSchedule[[#This Row],[HourlyRate]:[HourlyRate]]</f>
        <v>0</v>
      </c>
    </row>
    <row r="22" spans="1:39" x14ac:dyDescent="0.45">
      <c r="A22" t="s">
        <v>61</v>
      </c>
      <c r="B22" t="str" cm="1">
        <f t="array" ref="B22">IFERROR(INDEX(tblStaff[Role], MATCH(tblSchedule[[#This Row],[StaffName]:[StaffName]], tblStaff[[StaffName]:[StaffName]], 0)), "")</f>
        <v>Server</v>
      </c>
      <c r="C22" t="str">
        <f>IFERROR(INDEX(tblRefRole[RoleCategory], MATCH(tblSchedule[[#This Row],[Role]], tblRefRole[Role], 0)), "")</f>
        <v>Server</v>
      </c>
      <c r="D22" t="str" cm="1">
        <f t="array" ref="D22">IFERROR(INDEX(tblStaff[FullPart], MATCH(tblSchedule[[#This Row],[StaffName]:[StaffName]], tblStaff[[StaffName]:[StaffName]], 0)), "")</f>
        <v>Part Time</v>
      </c>
      <c r="E22" cm="1">
        <f t="array" ref="E22">IFERROR(INDEX(tblStaff[HourlyRate], MATCH(tblSchedule[[#This Row],[StaffName]:[StaffName]], tblStaff[[StaffName]:[StaffName]], 0)), "")</f>
        <v>15</v>
      </c>
      <c r="F22" cm="1">
        <f t="array" ref="F22">IFERROR(INDEX(tblStaff[MaxHourWeek], MATCH(tblSchedule[[#This Row],[StaffName]:[StaffName]], tblStaff[[StaffName]:[StaffName]], 0)), "")</f>
        <v>20</v>
      </c>
      <c r="G22">
        <f>IFERROR(SUM(tblSchedule[[#This Row],[H_Mon]:[H_Sun]]), 0)</f>
        <v>14.999999999999996</v>
      </c>
      <c r="H22" s="25" t="str">
        <f>_xlfn.CONCAT(IFERROR(GETPIVOTDATA("[Measures].[Sum of PremiumShift]",Setting!$G$17,"[tblHistory].[StaffName]","[tblHistory].[StaffName].&amp;[" &amp; tblSchedule[[#This Row],[StaffName]] &amp; "]"), 0), " / ", holiday_weekend_count)</f>
        <v>9 / 31</v>
      </c>
      <c r="I22" s="39">
        <f>IFERROR(GETPIVOTDATA("[Measures].[Sum of PremiumShift]",Setting!$G$17,"[tblHistory].[StaffName]","[tblHistory].[StaffName].&amp;["&amp; tblSchedule[[#This Row],[StaffName]]&amp;"]"), 0) / holiday_weekend_count</f>
        <v>0.29032258064516131</v>
      </c>
      <c r="J22" s="28">
        <f>SUM(tblSchedule[[#This Row],[WAGE_Mon]:[WAGE_Sun]])</f>
        <v>224.99999999999994</v>
      </c>
      <c r="K22" s="17" t="s">
        <v>41</v>
      </c>
      <c r="L22" t="s">
        <v>46</v>
      </c>
      <c r="M22" t="s">
        <v>40</v>
      </c>
      <c r="N22" t="s">
        <v>41</v>
      </c>
      <c r="O22" t="s">
        <v>41</v>
      </c>
      <c r="P22" t="s">
        <v>46</v>
      </c>
      <c r="Q22" t="s">
        <v>41</v>
      </c>
      <c r="R22" t="s">
        <v>41</v>
      </c>
      <c r="S22">
        <f>INDEX(tblRefShift[[Hour]:[Hour]], MATCH(_xlfn.CONCAT(tblSchedule[[#This Row],[Role]:[Role]], "_", tblSchedule[[#This Row],[Mon]]), tblRefShift[[ShiftID]:[ShiftID]], 0))</f>
        <v>4.9999999999999982</v>
      </c>
      <c r="T22">
        <f>INDEX(tblRefShift[[Hour]:[Hour]], MATCH(_xlfn.CONCAT(tblSchedule[[#This Row],[Role]:[Role]], "_", tblSchedule[[#This Row],[Tue]]), tblRefShift[[ShiftID]:[ShiftID]], 0))</f>
        <v>5</v>
      </c>
      <c r="U22">
        <f>INDEX(tblRefShift[[Hour]:[Hour]], MATCH(_xlfn.CONCAT(tblSchedule[[#This Row],[Role]:[Role]], "_", tblSchedule[[#This Row],[Wed]]), tblRefShift[[ShiftID]:[ShiftID]], 0))</f>
        <v>0</v>
      </c>
      <c r="V22">
        <f>INDEX(tblRefShift[[Hour]:[Hour]], MATCH(_xlfn.CONCAT(tblSchedule[[#This Row],[Role]:[Role]], "_", tblSchedule[[#This Row],[Thu]]), tblRefShift[[ShiftID]:[ShiftID]], 0))</f>
        <v>0</v>
      </c>
      <c r="W22">
        <f>INDEX(tblRefShift[[Hour]:[Hour]], MATCH(_xlfn.CONCAT(tblSchedule[[#This Row],[Role]:[Role]], "_", tblSchedule[[#This Row],[Fri]]), tblRefShift[[ShiftID]:[ShiftID]], 0))</f>
        <v>4.9999999999999982</v>
      </c>
      <c r="X22">
        <f>INDEX(tblRefShift[[Hour]:[Hour]], MATCH(_xlfn.CONCAT(tblSchedule[[#This Row],[Role]:[Role]], "_", tblSchedule[[#This Row],[Sat]]), tblRefShift[[ShiftID]:[ShiftID]], 0))</f>
        <v>0</v>
      </c>
      <c r="Y22">
        <f>INDEX(tblRefShift[[Hour]:[Hour]], MATCH(_xlfn.CONCAT(tblSchedule[[#This Row],[Role]:[Role]], "_", tblSchedule[[#This Row],[Sun]]), tblRefShift[[ShiftID]:[ShiftID]], 0))</f>
        <v>0</v>
      </c>
      <c r="Z22" t="str">
        <f>IF(AND(LEFT(tblSchedule[[#This Row],[LW_Sun]], 1)="E", LEFT(tblSchedule[[#This Row],[Mon]], 1)="M"), "CLOPEN", "OK")</f>
        <v>OK</v>
      </c>
      <c r="AA22" t="str">
        <f>IF(AND(LEFT(tblSchedule[[#This Row],[Mon]], 1)="E", LEFT(tblSchedule[[#This Row],[Tue]], 1)="M"), "CLOPEN", "OK")</f>
        <v>OK</v>
      </c>
      <c r="AB22" t="str">
        <f>IF(AND(LEFT(tblSchedule[[#This Row],[Tue]], 1)="E", LEFT(tblSchedule[[#This Row],[Wed]], 1)="M"), "CLOPEN", "OK")</f>
        <v>OK</v>
      </c>
      <c r="AC22" t="str">
        <f>IF(AND(LEFT(tblSchedule[[#This Row],[Wed]], 1)="E", LEFT(tblSchedule[[#This Row],[Thu]], 1)="M"), "CLOPEN", "OK")</f>
        <v>OK</v>
      </c>
      <c r="AD22" t="str">
        <f>IF(AND(LEFT(tblSchedule[[#This Row],[Thu]], 1)="E", LEFT(tblSchedule[[#This Row],[Fri]], 1)="M"), "CLOPEN", "OK")</f>
        <v>OK</v>
      </c>
      <c r="AE22" t="str">
        <f>IF(AND(LEFT(tblSchedule[[#This Row],[Fri]], 1)="E", LEFT(tblSchedule[[#This Row],[Sat]], 1)="M"), "CLOPEN", "OK")</f>
        <v>OK</v>
      </c>
      <c r="AF22" t="str">
        <f>IF(AND(LEFT(tblSchedule[[#This Row],[Sat]], 1)="E", LEFT(tblSchedule[[#This Row],[Sun]], 1)="M"), "CLOPEN", "OK")</f>
        <v>OK</v>
      </c>
      <c r="AG22" cm="1">
        <f t="array" ref="AG22">IF(NOT(ISERROR(MATCH(L$9, tblPublicHoliday[[HOLIDAY]:[HOLIDAY]], 0))), holiday_rate_multiplier,
IF(WEEKDAY(L$9,2)=6, sat_rate_multiplier,
IF(WEEKDAY(L$9,2)=7, sun_rate_multiplier, 1))) * tblSchedule[[#This Row],[H_Mon]] * tblSchedule[[#This Row],[HourlyRate]:[HourlyRate]]</f>
        <v>74.999999999999972</v>
      </c>
      <c r="AH22" cm="1">
        <f t="array" ref="AH22">IF(NOT(ISERROR(MATCH(M$9, tblPublicHoliday[[HOLIDAY]:[HOLIDAY]], 0))), holiday_rate_multiplier,
IF(WEEKDAY(M$9,2)=6, sat_rate_multiplier,
IF(WEEKDAY(M$9,2)=7, sun_rate_multiplier, 1))) * tblSchedule[[#This Row],[H_Tue]] * tblSchedule[[#This Row],[HourlyRate]:[HourlyRate]]</f>
        <v>75</v>
      </c>
      <c r="AI22" cm="1">
        <f t="array" ref="AI22">IF(NOT(ISERROR(MATCH(N$9, tblPublicHoliday[[HOLIDAY]:[HOLIDAY]], 0))), holiday_rate_multiplier,
IF(WEEKDAY(N$9,2)=6, sat_rate_multiplier,
IF(WEEKDAY(N$9,2)=7, sun_rate_multiplier, 1))) * tblSchedule[[#This Row],[H_Wed]] * tblSchedule[[#This Row],[HourlyRate]:[HourlyRate]]</f>
        <v>0</v>
      </c>
      <c r="AJ22" cm="1">
        <f t="array" ref="AJ22">IF(NOT(ISERROR(MATCH(O$9, tblPublicHoliday[[HOLIDAY]:[HOLIDAY]], 0))), holiday_rate_multiplier,
IF(WEEKDAY(O$9,2)=6, sat_rate_multiplier,
IF(WEEKDAY(O$9,2)=7, sun_rate_multiplier, 1))) * tblSchedule[[#This Row],[H_Thu]] * tblSchedule[[#This Row],[HourlyRate]:[HourlyRate]]</f>
        <v>0</v>
      </c>
      <c r="AK22" cm="1">
        <f t="array" ref="AK22">IF(NOT(ISERROR(MATCH(P$9, tblPublicHoliday[[HOLIDAY]:[HOLIDAY]], 0))), holiday_rate_multiplier,
IF(WEEKDAY(P$9,2)=6, sat_rate_multiplier,
IF(WEEKDAY(P$9,2)=7, sun_rate_multiplier, 1))) * tblSchedule[[#This Row],[H_Fri]] * tblSchedule[[#This Row],[HourlyRate]:[HourlyRate]]</f>
        <v>74.999999999999972</v>
      </c>
      <c r="AL22" cm="1">
        <f t="array" ref="AL22">IF(NOT(ISERROR(MATCH(Q$9, tblPublicHoliday[[HOLIDAY]:[HOLIDAY]], 0))), holiday_rate_multiplier,
IF(WEEKDAY(Q$9,2)=6, sat_rate_multiplier,
IF(WEEKDAY(Q$9,2)=7, sun_rate_multiplier, 1))) * tblSchedule[[#This Row],[H_Sat]] * tblSchedule[[#This Row],[HourlyRate]:[HourlyRate]]</f>
        <v>0</v>
      </c>
      <c r="AM22" cm="1">
        <f t="array" ref="AM22">IF(NOT(ISERROR(MATCH(R$9, tblPublicHoliday[[HOLIDAY]:[HOLIDAY]], 0))), holiday_rate_multiplier,
IF(WEEKDAY(R$9,2)=6, sat_rate_multiplier,
IF(WEEKDAY(R$9,2)=7, sun_rate_multiplier, 1))) * tblSchedule[[#This Row],[H_Sun]] * tblSchedule[[#This Row],[HourlyRate]:[HourlyRate]]</f>
        <v>0</v>
      </c>
    </row>
    <row r="23" spans="1:39" x14ac:dyDescent="0.45">
      <c r="A23" t="s">
        <v>62</v>
      </c>
      <c r="B23" t="str" cm="1">
        <f t="array" ref="B23">IFERROR(INDEX(tblStaff[Role], MATCH(tblSchedule[[#This Row],[StaffName]:[StaffName]], tblStaff[[StaffName]:[StaffName]], 0)), "")</f>
        <v>Server</v>
      </c>
      <c r="C23" t="str">
        <f>IFERROR(INDEX(tblRefRole[RoleCategory], MATCH(tblSchedule[[#This Row],[Role]], tblRefRole[Role], 0)), "")</f>
        <v>Server</v>
      </c>
      <c r="D23" t="str" cm="1">
        <f t="array" ref="D23">IFERROR(INDEX(tblStaff[FullPart], MATCH(tblSchedule[[#This Row],[StaffName]:[StaffName]], tblStaff[[StaffName]:[StaffName]], 0)), "")</f>
        <v>Part Time</v>
      </c>
      <c r="E23" cm="1">
        <f t="array" ref="E23">IFERROR(INDEX(tblStaff[HourlyRate], MATCH(tblSchedule[[#This Row],[StaffName]:[StaffName]], tblStaff[[StaffName]:[StaffName]], 0)), "")</f>
        <v>15</v>
      </c>
      <c r="F23" cm="1">
        <f t="array" ref="F23">IFERROR(INDEX(tblStaff[MaxHourWeek], MATCH(tblSchedule[[#This Row],[StaffName]:[StaffName]], tblStaff[[StaffName]:[StaffName]], 0)), "")</f>
        <v>20</v>
      </c>
      <c r="G23">
        <f>IFERROR(SUM(tblSchedule[[#This Row],[H_Mon]:[H_Sun]]), 0)</f>
        <v>19.999999999999996</v>
      </c>
      <c r="H23" s="25" t="str">
        <f>_xlfn.CONCAT(IFERROR(GETPIVOTDATA("[Measures].[Sum of PremiumShift]",Setting!$G$17,"[tblHistory].[StaffName]","[tblHistory].[StaffName].&amp;[" &amp; tblSchedule[[#This Row],[StaffName]] &amp; "]"), 0), " / ", holiday_weekend_count)</f>
        <v>25 / 31</v>
      </c>
      <c r="I23" s="39">
        <f>IFERROR(GETPIVOTDATA("[Measures].[Sum of PremiumShift]",Setting!$G$17,"[tblHistory].[StaffName]","[tblHistory].[StaffName].&amp;["&amp; tblSchedule[[#This Row],[StaffName]]&amp;"]"), 0) / holiday_weekend_count</f>
        <v>0.80645161290322576</v>
      </c>
      <c r="J23" s="28">
        <f>SUM(tblSchedule[[#This Row],[WAGE_Mon]:[WAGE_Sun]])</f>
        <v>374.99999999999994</v>
      </c>
      <c r="K23" s="17" t="s">
        <v>46</v>
      </c>
      <c r="L23" t="s">
        <v>41</v>
      </c>
      <c r="M23" t="s">
        <v>40</v>
      </c>
      <c r="N23" t="s">
        <v>41</v>
      </c>
      <c r="O23" t="s">
        <v>41</v>
      </c>
      <c r="P23" t="s">
        <v>39</v>
      </c>
      <c r="Q23" t="s">
        <v>40</v>
      </c>
      <c r="R23" t="s">
        <v>46</v>
      </c>
      <c r="S23">
        <f>INDEX(tblRefShift[[Hour]:[Hour]], MATCH(_xlfn.CONCAT(tblSchedule[[#This Row],[Role]:[Role]], "_", tblSchedule[[#This Row],[Mon]]), tblRefShift[[ShiftID]:[ShiftID]], 0))</f>
        <v>0</v>
      </c>
      <c r="T23">
        <f>INDEX(tblRefShift[[Hour]:[Hour]], MATCH(_xlfn.CONCAT(tblSchedule[[#This Row],[Role]:[Role]], "_", tblSchedule[[#This Row],[Tue]]), tblRefShift[[ShiftID]:[ShiftID]], 0))</f>
        <v>5</v>
      </c>
      <c r="U23">
        <f>INDEX(tblRefShift[[Hour]:[Hour]], MATCH(_xlfn.CONCAT(tblSchedule[[#This Row],[Role]:[Role]], "_", tblSchedule[[#This Row],[Wed]]), tblRefShift[[ShiftID]:[ShiftID]], 0))</f>
        <v>0</v>
      </c>
      <c r="V23">
        <f>INDEX(tblRefShift[[Hour]:[Hour]], MATCH(_xlfn.CONCAT(tblSchedule[[#This Row],[Role]:[Role]], "_", tblSchedule[[#This Row],[Thu]]), tblRefShift[[ShiftID]:[ShiftID]], 0))</f>
        <v>0</v>
      </c>
      <c r="W23">
        <f>INDEX(tblRefShift[[Hour]:[Hour]], MATCH(_xlfn.CONCAT(tblSchedule[[#This Row],[Role]:[Role]], "_", tblSchedule[[#This Row],[Fri]]), tblRefShift[[ShiftID]:[ShiftID]], 0))</f>
        <v>4.9999999999999982</v>
      </c>
      <c r="X23">
        <f>INDEX(tblRefShift[[Hour]:[Hour]], MATCH(_xlfn.CONCAT(tblSchedule[[#This Row],[Role]:[Role]], "_", tblSchedule[[#This Row],[Sat]]), tblRefShift[[ShiftID]:[ShiftID]], 0))</f>
        <v>5</v>
      </c>
      <c r="Y23">
        <f>INDEX(tblRefShift[[Hour]:[Hour]], MATCH(_xlfn.CONCAT(tblSchedule[[#This Row],[Role]:[Role]], "_", tblSchedule[[#This Row],[Sun]]), tblRefShift[[ShiftID]:[ShiftID]], 0))</f>
        <v>4.9999999999999982</v>
      </c>
      <c r="Z23" t="str">
        <f>IF(AND(LEFT(tblSchedule[[#This Row],[LW_Sun]], 1)="E", LEFT(tblSchedule[[#This Row],[Mon]], 1)="M"), "CLOPEN", "OK")</f>
        <v>OK</v>
      </c>
      <c r="AA23" t="str">
        <f>IF(AND(LEFT(tblSchedule[[#This Row],[Mon]], 1)="E", LEFT(tblSchedule[[#This Row],[Tue]], 1)="M"), "CLOPEN", "OK")</f>
        <v>OK</v>
      </c>
      <c r="AB23" t="str">
        <f>IF(AND(LEFT(tblSchedule[[#This Row],[Tue]], 1)="E", LEFT(tblSchedule[[#This Row],[Wed]], 1)="M"), "CLOPEN", "OK")</f>
        <v>OK</v>
      </c>
      <c r="AC23" t="str">
        <f>IF(AND(LEFT(tblSchedule[[#This Row],[Wed]], 1)="E", LEFT(tblSchedule[[#This Row],[Thu]], 1)="M"), "CLOPEN", "OK")</f>
        <v>OK</v>
      </c>
      <c r="AD23" t="str">
        <f>IF(AND(LEFT(tblSchedule[[#This Row],[Thu]], 1)="E", LEFT(tblSchedule[[#This Row],[Fri]], 1)="M"), "CLOPEN", "OK")</f>
        <v>OK</v>
      </c>
      <c r="AE23" t="str">
        <f>IF(AND(LEFT(tblSchedule[[#This Row],[Fri]], 1)="E", LEFT(tblSchedule[[#This Row],[Sat]], 1)="M"), "CLOPEN", "OK")</f>
        <v>OK</v>
      </c>
      <c r="AF23" t="str">
        <f>IF(AND(LEFT(tblSchedule[[#This Row],[Sat]], 1)="E", LEFT(tblSchedule[[#This Row],[Sun]], 1)="M"), "CLOPEN", "OK")</f>
        <v>OK</v>
      </c>
      <c r="AG23" cm="1">
        <f t="array" ref="AG23">IF(NOT(ISERROR(MATCH(L$9, tblPublicHoliday[[HOLIDAY]:[HOLIDAY]], 0))), holiday_rate_multiplier,
IF(WEEKDAY(L$9,2)=6, sat_rate_multiplier,
IF(WEEKDAY(L$9,2)=7, sun_rate_multiplier, 1))) * tblSchedule[[#This Row],[H_Mon]] * tblSchedule[[#This Row],[HourlyRate]:[HourlyRate]]</f>
        <v>0</v>
      </c>
      <c r="AH23" cm="1">
        <f t="array" ref="AH23">IF(NOT(ISERROR(MATCH(M$9, tblPublicHoliday[[HOLIDAY]:[HOLIDAY]], 0))), holiday_rate_multiplier,
IF(WEEKDAY(M$9,2)=6, sat_rate_multiplier,
IF(WEEKDAY(M$9,2)=7, sun_rate_multiplier, 1))) * tblSchedule[[#This Row],[H_Tue]] * tblSchedule[[#This Row],[HourlyRate]:[HourlyRate]]</f>
        <v>75</v>
      </c>
      <c r="AI23" cm="1">
        <f t="array" ref="AI23">IF(NOT(ISERROR(MATCH(N$9, tblPublicHoliday[[HOLIDAY]:[HOLIDAY]], 0))), holiday_rate_multiplier,
IF(WEEKDAY(N$9,2)=6, sat_rate_multiplier,
IF(WEEKDAY(N$9,2)=7, sun_rate_multiplier, 1))) * tblSchedule[[#This Row],[H_Wed]] * tblSchedule[[#This Row],[HourlyRate]:[HourlyRate]]</f>
        <v>0</v>
      </c>
      <c r="AJ23" cm="1">
        <f t="array" ref="AJ23">IF(NOT(ISERROR(MATCH(O$9, tblPublicHoliday[[HOLIDAY]:[HOLIDAY]], 0))), holiday_rate_multiplier,
IF(WEEKDAY(O$9,2)=6, sat_rate_multiplier,
IF(WEEKDAY(O$9,2)=7, sun_rate_multiplier, 1))) * tblSchedule[[#This Row],[H_Thu]] * tblSchedule[[#This Row],[HourlyRate]:[HourlyRate]]</f>
        <v>0</v>
      </c>
      <c r="AK23" cm="1">
        <f t="array" ref="AK23">IF(NOT(ISERROR(MATCH(P$9, tblPublicHoliday[[HOLIDAY]:[HOLIDAY]], 0))), holiday_rate_multiplier,
IF(WEEKDAY(P$9,2)=6, sat_rate_multiplier,
IF(WEEKDAY(P$9,2)=7, sun_rate_multiplier, 1))) * tblSchedule[[#This Row],[H_Fri]] * tblSchedule[[#This Row],[HourlyRate]:[HourlyRate]]</f>
        <v>74.999999999999972</v>
      </c>
      <c r="AL23" cm="1">
        <f t="array" ref="AL23">IF(NOT(ISERROR(MATCH(Q$9, tblPublicHoliday[[HOLIDAY]:[HOLIDAY]], 0))), holiday_rate_multiplier,
IF(WEEKDAY(Q$9,2)=6, sat_rate_multiplier,
IF(WEEKDAY(Q$9,2)=7, sun_rate_multiplier, 1))) * tblSchedule[[#This Row],[H_Sat]] * tblSchedule[[#This Row],[HourlyRate]:[HourlyRate]]</f>
        <v>112.5</v>
      </c>
      <c r="AM23" cm="1">
        <f t="array" ref="AM23">IF(NOT(ISERROR(MATCH(R$9, tblPublicHoliday[[HOLIDAY]:[HOLIDAY]], 0))), holiday_rate_multiplier,
IF(WEEKDAY(R$9,2)=6, sat_rate_multiplier,
IF(WEEKDAY(R$9,2)=7, sun_rate_multiplier, 1))) * tblSchedule[[#This Row],[H_Sun]] * tblSchedule[[#This Row],[HourlyRate]:[HourlyRate]]</f>
        <v>112.49999999999996</v>
      </c>
    </row>
    <row r="27" spans="1:39" ht="17.649999999999999" thickBot="1" x14ac:dyDescent="0.6">
      <c r="A27" s="5" t="s">
        <v>125</v>
      </c>
      <c r="B27" s="5"/>
      <c r="C27" s="5"/>
      <c r="D27" s="5"/>
      <c r="E27" s="5"/>
      <c r="F27" s="5"/>
      <c r="G27" s="5"/>
      <c r="H27" s="5"/>
      <c r="K27" s="5" t="s">
        <v>108</v>
      </c>
      <c r="L27" s="5"/>
      <c r="M27" s="5"/>
      <c r="N27" s="5"/>
      <c r="O27" s="5"/>
      <c r="P27" s="5"/>
      <c r="Q27" s="5"/>
      <c r="R27" s="5"/>
    </row>
    <row r="28" spans="1:39" ht="14.65" thickTop="1" x14ac:dyDescent="0.45"/>
    <row r="29" spans="1:39" x14ac:dyDescent="0.45">
      <c r="A29" s="6" t="s">
        <v>126</v>
      </c>
      <c r="B29" s="40" t="s">
        <v>127</v>
      </c>
      <c r="L29" s="31" t="s">
        <v>64</v>
      </c>
      <c r="M29" s="31" t="s">
        <v>65</v>
      </c>
      <c r="N29" s="31" t="s">
        <v>66</v>
      </c>
      <c r="O29" s="31" t="s">
        <v>67</v>
      </c>
      <c r="P29" s="31" t="s">
        <v>68</v>
      </c>
      <c r="Q29" s="31" t="s">
        <v>69</v>
      </c>
      <c r="R29" s="34" t="s">
        <v>70</v>
      </c>
    </row>
    <row r="30" spans="1:39" x14ac:dyDescent="0.45">
      <c r="A30" s="43"/>
      <c r="B30" s="37" t="s">
        <v>128</v>
      </c>
      <c r="K30" s="29" t="s">
        <v>28</v>
      </c>
      <c r="L30" s="32"/>
      <c r="M30" s="32"/>
      <c r="N30" s="32"/>
      <c r="O30" s="32"/>
      <c r="P30" s="32"/>
      <c r="Q30" s="32"/>
      <c r="R30" s="32"/>
    </row>
    <row r="31" spans="1:39" x14ac:dyDescent="0.45">
      <c r="A31" s="41"/>
      <c r="B31" s="37" t="s">
        <v>129</v>
      </c>
      <c r="K31" s="30" t="s">
        <v>36</v>
      </c>
      <c r="L31" s="33">
        <f>COUNTIFS(tblSchedule[[RoleCategory]:[RoleCategory]],$K$30, tblSchedule[Mon], _xlfn.CONCAT(LEFT($K31, 1), "*"))</f>
        <v>1</v>
      </c>
      <c r="M31" s="33">
        <f>COUNTIFS(tblSchedule[[RoleCategory]:[RoleCategory]],$K$30, tblSchedule[Tue], _xlfn.CONCAT(LEFT($K31, 1), "*"))</f>
        <v>1</v>
      </c>
      <c r="N31" s="33">
        <f>COUNTIFS(tblSchedule[[RoleCategory]:[RoleCategory]],$K$30, tblSchedule[Wed], _xlfn.CONCAT(LEFT($K31, 1), "*"))</f>
        <v>1</v>
      </c>
      <c r="O31" s="33">
        <f>COUNTIFS(tblSchedule[[RoleCategory]:[RoleCategory]],$K$30, tblSchedule[Thu], _xlfn.CONCAT(LEFT($K31, 1), "*"))</f>
        <v>1</v>
      </c>
      <c r="P31" s="33">
        <f>COUNTIFS(tblSchedule[[RoleCategory]:[RoleCategory]],$K$30, tblSchedule[Fri], _xlfn.CONCAT(LEFT($K31, 1), "*"))</f>
        <v>2</v>
      </c>
      <c r="Q31" s="33">
        <f>COUNTIFS(tblSchedule[[RoleCategory]:[RoleCategory]],$K$30, tblSchedule[Sat], _xlfn.CONCAT(LEFT($K31, 1), "*"))</f>
        <v>1</v>
      </c>
      <c r="R31" s="33">
        <f>COUNTIFS(tblSchedule[[RoleCategory]:[RoleCategory]],$K$30, tblSchedule[Sun], _xlfn.CONCAT(LEFT($K31, 1), "*"))</f>
        <v>1</v>
      </c>
    </row>
    <row r="32" spans="1:39" x14ac:dyDescent="0.45">
      <c r="A32" s="42"/>
      <c r="B32" s="37" t="s">
        <v>130</v>
      </c>
      <c r="K32" s="30" t="s">
        <v>38</v>
      </c>
      <c r="L32" s="33">
        <f>COUNTIFS(tblSchedule[[RoleCategory]:[RoleCategory]],$K$30, tblSchedule[Mon], _xlfn.CONCAT(LEFT($K32, 1), "*"))</f>
        <v>1</v>
      </c>
      <c r="M32" s="33">
        <f>COUNTIFS(tblSchedule[[RoleCategory]:[RoleCategory]],$K$30, tblSchedule[Tue], _xlfn.CONCAT(LEFT($K32, 1), "*"))</f>
        <v>1</v>
      </c>
      <c r="N32" s="33">
        <f>COUNTIFS(tblSchedule[[RoleCategory]:[RoleCategory]],$K$30, tblSchedule[Wed], _xlfn.CONCAT(LEFT($K32, 1), "*"))</f>
        <v>0</v>
      </c>
      <c r="O32" s="33">
        <f>COUNTIFS(tblSchedule[[RoleCategory]:[RoleCategory]],$K$30, tblSchedule[Thu], _xlfn.CONCAT(LEFT($K32, 1), "*"))</f>
        <v>1</v>
      </c>
      <c r="P32" s="33">
        <f>COUNTIFS(tblSchedule[[RoleCategory]:[RoleCategory]],$K$30, tblSchedule[Fri], _xlfn.CONCAT(LEFT($K32, 1), "*"))</f>
        <v>1</v>
      </c>
      <c r="Q32" s="33">
        <f>COUNTIFS(tblSchedule[[RoleCategory]:[RoleCategory]],$K$30, tblSchedule[Sat], _xlfn.CONCAT(LEFT($K32, 1), "*"))</f>
        <v>1</v>
      </c>
      <c r="R32" s="33">
        <f>COUNTIFS(tblSchedule[[RoleCategory]:[RoleCategory]],$K$30, tblSchedule[Sun], _xlfn.CONCAT(LEFT($K32, 1), "*"))</f>
        <v>1</v>
      </c>
    </row>
    <row r="33" spans="11:18" x14ac:dyDescent="0.45">
      <c r="L33" s="25"/>
      <c r="M33" s="25"/>
      <c r="N33" s="25"/>
      <c r="O33" s="25"/>
      <c r="P33" s="25"/>
      <c r="Q33" s="25"/>
      <c r="R33" s="25"/>
    </row>
    <row r="34" spans="11:18" x14ac:dyDescent="0.45">
      <c r="K34" s="29" t="s">
        <v>26</v>
      </c>
      <c r="L34" s="33"/>
      <c r="M34" s="33"/>
      <c r="N34" s="33"/>
      <c r="O34" s="33"/>
      <c r="P34" s="33"/>
      <c r="Q34" s="33"/>
      <c r="R34" s="33"/>
    </row>
    <row r="35" spans="11:18" x14ac:dyDescent="0.45">
      <c r="K35" s="30" t="s">
        <v>36</v>
      </c>
      <c r="L35" s="33">
        <f>COUNTIFS(tblSchedule[[RoleCategory]:[RoleCategory]],$K$34, tblSchedule[Mon], _xlfn.CONCAT(LEFT($K35, 1), "*"))</f>
        <v>1</v>
      </c>
      <c r="M35" s="33">
        <f>COUNTIFS(tblSchedule[[RoleCategory]:[RoleCategory]],$K$34, tblSchedule[Tue], _xlfn.CONCAT(LEFT($K35, 1), "*"))</f>
        <v>1</v>
      </c>
      <c r="N35" s="33">
        <f>COUNTIFS(tblSchedule[[RoleCategory]:[RoleCategory]],$K$34, tblSchedule[Wed], _xlfn.CONCAT(LEFT($K35, 1), "*"))</f>
        <v>1</v>
      </c>
      <c r="O35" s="33">
        <f>COUNTIFS(tblSchedule[[RoleCategory]:[RoleCategory]],$K$34, tblSchedule[Thu], _xlfn.CONCAT(LEFT($K35, 1), "*"))</f>
        <v>1</v>
      </c>
      <c r="P35" s="33">
        <f>COUNTIFS(tblSchedule[[RoleCategory]:[RoleCategory]],$K$34, tblSchedule[Fri], _xlfn.CONCAT(LEFT($K35, 1), "*"))</f>
        <v>1</v>
      </c>
      <c r="Q35" s="33">
        <f>COUNTIFS(tblSchedule[[RoleCategory]:[RoleCategory]],$K$34, tblSchedule[Sat], _xlfn.CONCAT(LEFT($K35, 1), "*"))</f>
        <v>1</v>
      </c>
      <c r="R35" s="33">
        <f>COUNTIFS(tblSchedule[[RoleCategory]:[RoleCategory]],$K$34, tblSchedule[Sun], _xlfn.CONCAT(LEFT($K35, 1), "*"))</f>
        <v>1</v>
      </c>
    </row>
    <row r="36" spans="11:18" x14ac:dyDescent="0.45">
      <c r="K36" s="30" t="s">
        <v>38</v>
      </c>
      <c r="L36" s="33">
        <f>COUNTIFS(tblSchedule[[RoleCategory]:[RoleCategory]],$K$34, tblSchedule[Mon], _xlfn.CONCAT(LEFT($K36, 1), "*"))</f>
        <v>2</v>
      </c>
      <c r="M36" s="33">
        <f>COUNTIFS(tblSchedule[[RoleCategory]:[RoleCategory]],$K$34, tblSchedule[Tue], _xlfn.CONCAT(LEFT($K36, 1), "*"))</f>
        <v>2</v>
      </c>
      <c r="N36" s="33">
        <f>COUNTIFS(tblSchedule[[RoleCategory]:[RoleCategory]],$K$34, tblSchedule[Wed], _xlfn.CONCAT(LEFT($K36, 1), "*"))</f>
        <v>1</v>
      </c>
      <c r="O36" s="33">
        <f>COUNTIFS(tblSchedule[[RoleCategory]:[RoleCategory]],$K$34, tblSchedule[Thu], _xlfn.CONCAT(LEFT($K36, 1), "*"))</f>
        <v>2</v>
      </c>
      <c r="P36" s="33">
        <f>COUNTIFS(tblSchedule[[RoleCategory]:[RoleCategory]],$K$34, tblSchedule[Fri], _xlfn.CONCAT(LEFT($K36, 1), "*"))</f>
        <v>1</v>
      </c>
      <c r="Q36" s="33">
        <f>COUNTIFS(tblSchedule[[RoleCategory]:[RoleCategory]],$K$34, tblSchedule[Sat], _xlfn.CONCAT(LEFT($K36, 1), "*"))</f>
        <v>1</v>
      </c>
      <c r="R36" s="33">
        <f>COUNTIFS(tblSchedule[[RoleCategory]:[RoleCategory]],$K$34, tblSchedule[Sun], _xlfn.CONCAT(LEFT($K36, 1), "*"))</f>
        <v>1</v>
      </c>
    </row>
    <row r="37" spans="11:18" x14ac:dyDescent="0.45">
      <c r="L37" s="25"/>
      <c r="M37" s="25"/>
      <c r="N37" s="25"/>
      <c r="O37" s="25"/>
      <c r="P37" s="25"/>
      <c r="Q37" s="25"/>
      <c r="R37" s="25"/>
    </row>
    <row r="38" spans="11:18" x14ac:dyDescent="0.45">
      <c r="K38" s="29" t="s">
        <v>29</v>
      </c>
      <c r="L38" s="33"/>
      <c r="M38" s="33"/>
      <c r="N38" s="33"/>
      <c r="O38" s="33"/>
      <c r="P38" s="33"/>
      <c r="Q38" s="33"/>
      <c r="R38" s="33"/>
    </row>
    <row r="39" spans="11:18" x14ac:dyDescent="0.45">
      <c r="K39" s="30" t="s">
        <v>36</v>
      </c>
      <c r="L39" s="33">
        <f>COUNTIFS(tblSchedule[[RoleCategory]:[RoleCategory]],$K$38, tblSchedule[Mon], _xlfn.CONCAT(LEFT($K39, 1), "*"))</f>
        <v>1</v>
      </c>
      <c r="M39" s="33">
        <f>COUNTIFS(tblSchedule[[RoleCategory]:[RoleCategory]],$K$38, tblSchedule[Tue], _xlfn.CONCAT(LEFT($K39, 1), "*"))</f>
        <v>1</v>
      </c>
      <c r="N39" s="33">
        <f>COUNTIFS(tblSchedule[[RoleCategory]:[RoleCategory]],$K$38, tblSchedule[Wed], _xlfn.CONCAT(LEFT($K39, 1), "*"))</f>
        <v>0</v>
      </c>
      <c r="O39" s="33">
        <f>COUNTIFS(tblSchedule[[RoleCategory]:[RoleCategory]],$K$38, tblSchedule[Thu], _xlfn.CONCAT(LEFT($K39, 1), "*"))</f>
        <v>1</v>
      </c>
      <c r="P39" s="33">
        <f>COUNTIFS(tblSchedule[[RoleCategory]:[RoleCategory]],$K$38, tblSchedule[Fri], _xlfn.CONCAT(LEFT($K39, 1), "*"))</f>
        <v>1</v>
      </c>
      <c r="Q39" s="33">
        <f>COUNTIFS(tblSchedule[[RoleCategory]:[RoleCategory]],$K$38, tblSchedule[Sat], _xlfn.CONCAT(LEFT($K39, 1), "*"))</f>
        <v>1</v>
      </c>
      <c r="R39" s="33">
        <f>COUNTIFS(tblSchedule[[RoleCategory]:[RoleCategory]],$K$38, tblSchedule[Sun], _xlfn.CONCAT(LEFT($K39, 1), "*"))</f>
        <v>1</v>
      </c>
    </row>
    <row r="40" spans="11:18" x14ac:dyDescent="0.45">
      <c r="K40" s="30" t="s">
        <v>47</v>
      </c>
      <c r="L40" s="33">
        <f>COUNTIFS(tblSchedule[[RoleCategory]:[RoleCategory]],$K$38, tblSchedule[Mon], _xlfn.CONCAT(LEFT($K40, 1), "*"))</f>
        <v>1</v>
      </c>
      <c r="M40" s="33">
        <f>COUNTIFS(tblSchedule[[RoleCategory]:[RoleCategory]],$K$38, tblSchedule[Tue], _xlfn.CONCAT(LEFT($K40, 1), "*"))</f>
        <v>1</v>
      </c>
      <c r="N40" s="33">
        <f>COUNTIFS(tblSchedule[[RoleCategory]:[RoleCategory]],$K$38, tblSchedule[Wed], _xlfn.CONCAT(LEFT($K40, 1), "*"))</f>
        <v>1</v>
      </c>
      <c r="O40" s="33">
        <f>COUNTIFS(tblSchedule[[RoleCategory]:[RoleCategory]],$K$38, tblSchedule[Thu], _xlfn.CONCAT(LEFT($K40, 1), "*"))</f>
        <v>0</v>
      </c>
      <c r="P40" s="33">
        <f>COUNTIFS(tblSchedule[[RoleCategory]:[RoleCategory]],$K$38, tblSchedule[Fri], _xlfn.CONCAT(LEFT($K40, 1), "*"))</f>
        <v>3</v>
      </c>
      <c r="Q40" s="33">
        <f>COUNTIFS(tblSchedule[[RoleCategory]:[RoleCategory]],$K$38, tblSchedule[Sat], _xlfn.CONCAT(LEFT($K40, 1), "*"))</f>
        <v>1</v>
      </c>
      <c r="R40" s="33">
        <f>COUNTIFS(tblSchedule[[RoleCategory]:[RoleCategory]],$K$38, tblSchedule[Sun], _xlfn.CONCAT(LEFT($K40, 1), "*"))</f>
        <v>1</v>
      </c>
    </row>
    <row r="41" spans="11:18" x14ac:dyDescent="0.45">
      <c r="K41" s="30" t="s">
        <v>38</v>
      </c>
      <c r="L41" s="33">
        <f>COUNTIFS(tblSchedule[[RoleCategory]:[RoleCategory]],$K$38, tblSchedule[Mon], _xlfn.CONCAT(LEFT($K41, 1), "*"))</f>
        <v>1</v>
      </c>
      <c r="M41" s="33">
        <f>COUNTIFS(tblSchedule[[RoleCategory]:[RoleCategory]],$K$38, tblSchedule[Tue], _xlfn.CONCAT(LEFT($K41, 1), "*"))</f>
        <v>3</v>
      </c>
      <c r="N41" s="33">
        <f>COUNTIFS(tblSchedule[[RoleCategory]:[RoleCategory]],$K$38, tblSchedule[Wed], _xlfn.CONCAT(LEFT($K41, 1), "*"))</f>
        <v>1</v>
      </c>
      <c r="O41" s="33">
        <f>COUNTIFS(tblSchedule[[RoleCategory]:[RoleCategory]],$K$38, tblSchedule[Thu], _xlfn.CONCAT(LEFT($K41, 1), "*"))</f>
        <v>2</v>
      </c>
      <c r="P41" s="33">
        <f>COUNTIFS(tblSchedule[[RoleCategory]:[RoleCategory]],$K$38, tblSchedule[Fri], _xlfn.CONCAT(LEFT($K41, 1), "*"))</f>
        <v>1</v>
      </c>
      <c r="Q41" s="33">
        <f>COUNTIFS(tblSchedule[[RoleCategory]:[RoleCategory]],$K$38, tblSchedule[Sat], _xlfn.CONCAT(LEFT($K41, 1), "*"))</f>
        <v>2</v>
      </c>
      <c r="R41" s="33">
        <f>COUNTIFS(tblSchedule[[RoleCategory]:[RoleCategory]],$K$38, tblSchedule[Sun], _xlfn.CONCAT(LEFT($K41, 1), "*"))</f>
        <v>1</v>
      </c>
    </row>
  </sheetData>
  <phoneticPr fontId="9" type="noConversion"/>
  <conditionalFormatting sqref="G11:G23">
    <cfRule type="expression" dxfId="72" priority="11">
      <formula>G11&gt;F11</formula>
    </cfRule>
  </conditionalFormatting>
  <conditionalFormatting sqref="L11:R23">
    <cfRule type="expression" dxfId="71" priority="9">
      <formula>Z11="CLOPEN"</formula>
    </cfRule>
    <cfRule type="expression" dxfId="70" priority="10">
      <formula>MATCH(L$9, HolidayList, 0)</formula>
    </cfRule>
  </conditionalFormatting>
  <conditionalFormatting sqref="L8:R9">
    <cfRule type="expression" dxfId="69" priority="8">
      <formula>MATCH(L$9, HolidayList, 0)</formula>
    </cfRule>
  </conditionalFormatting>
  <conditionalFormatting sqref="L31">
    <cfRule type="cellIs" dxfId="68" priority="6" operator="equal">
      <formula>0</formula>
    </cfRule>
  </conditionalFormatting>
  <conditionalFormatting sqref="M31:R31">
    <cfRule type="cellIs" dxfId="67" priority="5" operator="equal">
      <formula>0</formula>
    </cfRule>
  </conditionalFormatting>
  <conditionalFormatting sqref="L32:R32">
    <cfRule type="cellIs" dxfId="66" priority="4" operator="equal">
      <formula>0</formula>
    </cfRule>
  </conditionalFormatting>
  <conditionalFormatting sqref="L35:R36">
    <cfRule type="cellIs" dxfId="65" priority="3" operator="equal">
      <formula>0</formula>
    </cfRule>
  </conditionalFormatting>
  <conditionalFormatting sqref="L39:R41">
    <cfRule type="cellIs" dxfId="64" priority="2" operator="equal">
      <formula>0</formula>
    </cfRule>
  </conditionalFormatting>
  <conditionalFormatting sqref="H11:H23">
    <cfRule type="expression" dxfId="63" priority="1">
      <formula>I11&gt;75%</formula>
    </cfRule>
  </conditionalFormatting>
  <dataValidations count="1">
    <dataValidation type="list" allowBlank="1" showInputMessage="1" showErrorMessage="1" sqref="L11:R23" xr:uid="{C33C8A2E-350E-4131-97AC-A585F20D7AF5}">
      <formula1>INDIRECT(_xlfn.CONCAT("dd", SUBSTITUTE($B11, " ", ""), "Shift"))</formula1>
    </dataValidation>
  </dataValidations>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BF605-8D12-4353-A13C-F59A86CB891E}">
  <sheetPr codeName="SheetStaff"/>
  <dimension ref="B1:F19"/>
  <sheetViews>
    <sheetView showGridLines="0" zoomScale="115" zoomScaleNormal="115" workbookViewId="0">
      <selection activeCell="C21" sqref="C21"/>
    </sheetView>
  </sheetViews>
  <sheetFormatPr defaultRowHeight="14.25" x14ac:dyDescent="0.45"/>
  <cols>
    <col min="2" max="2" width="21.86328125" customWidth="1"/>
    <col min="3" max="3" width="16.73046875" customWidth="1"/>
    <col min="4" max="4" width="14.53125" customWidth="1"/>
    <col min="5" max="5" width="11.9296875" bestFit="1" customWidth="1"/>
    <col min="6" max="6" width="14.59765625" bestFit="1" customWidth="1"/>
  </cols>
  <sheetData>
    <row r="1" spans="2:6" ht="19.899999999999999" thickBot="1" x14ac:dyDescent="0.65">
      <c r="B1" s="9" t="s">
        <v>23</v>
      </c>
      <c r="C1" s="9"/>
      <c r="D1" s="9"/>
      <c r="E1" s="9"/>
      <c r="F1" s="9"/>
    </row>
    <row r="2" spans="2:6" ht="14.65" thickTop="1" x14ac:dyDescent="0.45"/>
    <row r="6" spans="2:6" x14ac:dyDescent="0.45">
      <c r="B6" t="s">
        <v>14</v>
      </c>
      <c r="C6" t="s">
        <v>12</v>
      </c>
      <c r="D6" t="s">
        <v>15</v>
      </c>
      <c r="E6" t="s">
        <v>16</v>
      </c>
      <c r="F6" t="s">
        <v>17</v>
      </c>
    </row>
    <row r="7" spans="2:6" x14ac:dyDescent="0.45">
      <c r="B7" t="s">
        <v>48</v>
      </c>
      <c r="C7" t="s">
        <v>30</v>
      </c>
      <c r="D7" t="s">
        <v>49</v>
      </c>
      <c r="E7">
        <v>30</v>
      </c>
      <c r="F7">
        <v>40</v>
      </c>
    </row>
    <row r="8" spans="2:6" x14ac:dyDescent="0.45">
      <c r="B8" t="s">
        <v>50</v>
      </c>
      <c r="C8" t="s">
        <v>27</v>
      </c>
      <c r="D8" t="s">
        <v>49</v>
      </c>
      <c r="E8">
        <v>25</v>
      </c>
      <c r="F8">
        <v>40</v>
      </c>
    </row>
    <row r="9" spans="2:6" x14ac:dyDescent="0.45">
      <c r="B9" t="s">
        <v>51</v>
      </c>
      <c r="C9" t="s">
        <v>27</v>
      </c>
      <c r="D9" t="s">
        <v>49</v>
      </c>
      <c r="E9">
        <v>25</v>
      </c>
      <c r="F9">
        <v>40</v>
      </c>
    </row>
    <row r="10" spans="2:6" x14ac:dyDescent="0.45">
      <c r="B10" t="s">
        <v>52</v>
      </c>
      <c r="C10" t="s">
        <v>26</v>
      </c>
      <c r="D10" t="s">
        <v>49</v>
      </c>
      <c r="E10">
        <v>35</v>
      </c>
      <c r="F10">
        <v>40</v>
      </c>
    </row>
    <row r="11" spans="2:6" x14ac:dyDescent="0.45">
      <c r="B11" t="s">
        <v>53</v>
      </c>
      <c r="C11" t="s">
        <v>26</v>
      </c>
      <c r="D11" t="s">
        <v>49</v>
      </c>
      <c r="E11">
        <v>35</v>
      </c>
      <c r="F11">
        <v>40</v>
      </c>
    </row>
    <row r="12" spans="2:6" x14ac:dyDescent="0.45">
      <c r="B12" t="s">
        <v>54</v>
      </c>
      <c r="C12" t="s">
        <v>25</v>
      </c>
      <c r="D12" t="s">
        <v>49</v>
      </c>
      <c r="E12">
        <v>28</v>
      </c>
      <c r="F12">
        <v>40</v>
      </c>
    </row>
    <row r="13" spans="2:6" x14ac:dyDescent="0.45">
      <c r="B13" t="s">
        <v>55</v>
      </c>
      <c r="C13" t="s">
        <v>25</v>
      </c>
      <c r="D13" t="s">
        <v>49</v>
      </c>
      <c r="E13">
        <v>28</v>
      </c>
      <c r="F13">
        <v>40</v>
      </c>
    </row>
    <row r="14" spans="2:6" x14ac:dyDescent="0.45">
      <c r="B14" t="s">
        <v>56</v>
      </c>
      <c r="C14" t="s">
        <v>29</v>
      </c>
      <c r="D14" t="s">
        <v>49</v>
      </c>
      <c r="E14">
        <v>20</v>
      </c>
      <c r="F14">
        <v>40</v>
      </c>
    </row>
    <row r="15" spans="2:6" x14ac:dyDescent="0.45">
      <c r="B15" t="s">
        <v>57</v>
      </c>
      <c r="C15" t="s">
        <v>29</v>
      </c>
      <c r="D15" t="s">
        <v>49</v>
      </c>
      <c r="E15">
        <v>20</v>
      </c>
      <c r="F15">
        <v>40</v>
      </c>
    </row>
    <row r="16" spans="2:6" x14ac:dyDescent="0.45">
      <c r="B16" t="s">
        <v>58</v>
      </c>
      <c r="C16" t="s">
        <v>29</v>
      </c>
      <c r="D16" t="s">
        <v>49</v>
      </c>
      <c r="E16">
        <v>20</v>
      </c>
      <c r="F16">
        <v>40</v>
      </c>
    </row>
    <row r="17" spans="2:6" x14ac:dyDescent="0.45">
      <c r="B17" t="s">
        <v>59</v>
      </c>
      <c r="C17" t="s">
        <v>29</v>
      </c>
      <c r="D17" t="s">
        <v>60</v>
      </c>
      <c r="E17">
        <v>15</v>
      </c>
      <c r="F17">
        <v>20</v>
      </c>
    </row>
    <row r="18" spans="2:6" x14ac:dyDescent="0.45">
      <c r="B18" t="s">
        <v>61</v>
      </c>
      <c r="C18" t="s">
        <v>29</v>
      </c>
      <c r="D18" t="s">
        <v>60</v>
      </c>
      <c r="E18">
        <v>15</v>
      </c>
      <c r="F18">
        <v>20</v>
      </c>
    </row>
    <row r="19" spans="2:6" x14ac:dyDescent="0.45">
      <c r="B19" t="s">
        <v>62</v>
      </c>
      <c r="C19" t="s">
        <v>29</v>
      </c>
      <c r="D19" t="s">
        <v>60</v>
      </c>
      <c r="E19">
        <v>15</v>
      </c>
      <c r="F19">
        <v>20</v>
      </c>
    </row>
  </sheetData>
  <dataValidations count="2">
    <dataValidation type="list" allowBlank="1" showInputMessage="1" showErrorMessage="1" sqref="C7:C19" xr:uid="{7414B0CD-271A-4347-AAE3-6C9ED961CBAF}">
      <formula1>ddRole</formula1>
    </dataValidation>
    <dataValidation type="list" allowBlank="1" showInputMessage="1" showErrorMessage="1" sqref="D7:D19" xr:uid="{1E57929C-EA3B-4B81-B7B7-FACC4AA851A9}">
      <formula1>"Full Time,Part Time"</formula1>
    </dataValidation>
  </dataValidation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A4EF7-9796-4963-8D2A-66756B76F61C}">
  <sheetPr codeName="SheetRef"/>
  <dimension ref="B2:AG27"/>
  <sheetViews>
    <sheetView showGridLines="0" zoomScale="85" zoomScaleNormal="85" workbookViewId="0">
      <selection activeCell="C15" sqref="C15"/>
    </sheetView>
  </sheetViews>
  <sheetFormatPr defaultRowHeight="14.25" x14ac:dyDescent="0.45"/>
  <cols>
    <col min="1" max="1" width="3.265625" customWidth="1"/>
    <col min="2" max="2" width="18.46484375" customWidth="1"/>
    <col min="3" max="3" width="18.06640625" customWidth="1"/>
    <col min="4" max="6" width="3.59765625" customWidth="1"/>
    <col min="7" max="7" width="17.9296875" customWidth="1"/>
    <col min="8" max="8" width="18.6640625" customWidth="1"/>
    <col min="9" max="9" width="13.3984375" customWidth="1"/>
    <col min="10" max="10" width="11.19921875" customWidth="1"/>
    <col min="11" max="11" width="11.6640625" customWidth="1"/>
    <col min="12" max="12" width="10.59765625" customWidth="1"/>
    <col min="13" max="13" width="29.33203125" bestFit="1" customWidth="1"/>
    <col min="14" max="16" width="3.265625" customWidth="1"/>
    <col min="17" max="17" width="25" bestFit="1" customWidth="1"/>
    <col min="18" max="20" width="2.46484375" customWidth="1"/>
    <col min="21" max="21" width="28.73046875" customWidth="1"/>
    <col min="22" max="24" width="3.06640625" customWidth="1"/>
    <col min="25" max="25" width="16" customWidth="1"/>
    <col min="26" max="28" width="2.6640625" customWidth="1"/>
    <col min="29" max="29" width="25" customWidth="1"/>
    <col min="30" max="32" width="3.3984375" customWidth="1"/>
    <col min="33" max="33" width="17.796875" customWidth="1"/>
  </cols>
  <sheetData>
    <row r="2" spans="2:33" ht="17.649999999999999" thickBot="1" x14ac:dyDescent="0.6">
      <c r="B2" s="5" t="s">
        <v>24</v>
      </c>
      <c r="C2" s="5"/>
      <c r="G2" s="5" t="s">
        <v>71</v>
      </c>
      <c r="H2" s="5"/>
      <c r="I2" s="5"/>
      <c r="J2" s="5"/>
      <c r="K2" s="5"/>
      <c r="L2" s="5"/>
      <c r="M2" s="5"/>
      <c r="Q2" s="5" t="s">
        <v>72</v>
      </c>
      <c r="U2" s="5" t="s">
        <v>73</v>
      </c>
      <c r="Y2" s="5" t="s">
        <v>74</v>
      </c>
      <c r="AC2" s="5" t="s">
        <v>75</v>
      </c>
      <c r="AG2" s="5" t="s">
        <v>76</v>
      </c>
    </row>
    <row r="3" spans="2:33" ht="14.65" thickTop="1" x14ac:dyDescent="0.45"/>
    <row r="5" spans="2:33" x14ac:dyDescent="0.45">
      <c r="B5" t="s">
        <v>12</v>
      </c>
      <c r="C5" t="s">
        <v>13</v>
      </c>
      <c r="G5" s="10" t="s">
        <v>12</v>
      </c>
      <c r="H5" s="10" t="s">
        <v>31</v>
      </c>
      <c r="I5" s="10" t="s">
        <v>32</v>
      </c>
      <c r="J5" s="10" t="s">
        <v>33</v>
      </c>
      <c r="K5" s="10" t="s">
        <v>63</v>
      </c>
      <c r="L5" s="11" t="s">
        <v>34</v>
      </c>
      <c r="M5" s="10" t="s">
        <v>77</v>
      </c>
      <c r="Q5" t="s">
        <v>31</v>
      </c>
      <c r="U5" s="14" t="s">
        <v>31</v>
      </c>
      <c r="Y5" s="14" t="s">
        <v>31</v>
      </c>
      <c r="AC5" s="14" t="s">
        <v>31</v>
      </c>
      <c r="AG5" s="14" t="s">
        <v>31</v>
      </c>
    </row>
    <row r="6" spans="2:33" x14ac:dyDescent="0.45">
      <c r="B6" t="s">
        <v>30</v>
      </c>
      <c r="C6" t="s">
        <v>28</v>
      </c>
      <c r="G6" t="s">
        <v>30</v>
      </c>
      <c r="H6" t="s">
        <v>35</v>
      </c>
      <c r="I6" t="s">
        <v>36</v>
      </c>
      <c r="J6" s="12">
        <v>0.29166666666666669</v>
      </c>
      <c r="K6" s="12">
        <v>0.625</v>
      </c>
      <c r="L6">
        <f>IFERROR((tblRefShift[[#This Row],[EndTime]]-tblRefShift[[#This Row],[StartTime]])*24-1, 0)</f>
        <v>7</v>
      </c>
      <c r="M6" t="str">
        <f>_xlfn.CONCAT(tblRefShift[[#This Row],[Role]], "_", tblRefShift[[#This Row],[ShiftCode]])</f>
        <v>Store Manager_M7_07:00_15:00</v>
      </c>
      <c r="Q6" t="s">
        <v>35</v>
      </c>
      <c r="U6" s="13" t="s">
        <v>35</v>
      </c>
      <c r="Y6" s="13" t="s">
        <v>42</v>
      </c>
      <c r="AC6" s="13" t="s">
        <v>42</v>
      </c>
      <c r="AG6" s="13" t="s">
        <v>45</v>
      </c>
    </row>
    <row r="7" spans="2:33" x14ac:dyDescent="0.45">
      <c r="B7" t="s">
        <v>27</v>
      </c>
      <c r="C7" t="s">
        <v>28</v>
      </c>
      <c r="G7" t="s">
        <v>30</v>
      </c>
      <c r="H7" t="s">
        <v>37</v>
      </c>
      <c r="I7" t="s">
        <v>38</v>
      </c>
      <c r="J7" s="12">
        <v>0.625</v>
      </c>
      <c r="K7" s="12">
        <v>0.95833333333333337</v>
      </c>
      <c r="L7">
        <f>IFERROR((tblRefShift[[#This Row],[EndTime]]-tblRefShift[[#This Row],[StartTime]])*24-1, 0)</f>
        <v>7</v>
      </c>
      <c r="M7" t="str">
        <f>_xlfn.CONCAT(tblRefShift[[#This Row],[Role]], "_", tblRefShift[[#This Row],[ShiftCode]])</f>
        <v>Store Manager_E7_15:00_23:00</v>
      </c>
      <c r="Q7" t="s">
        <v>37</v>
      </c>
      <c r="U7" s="13" t="s">
        <v>37</v>
      </c>
      <c r="Y7" s="13" t="s">
        <v>44</v>
      </c>
      <c r="AC7" s="13" t="s">
        <v>44</v>
      </c>
      <c r="AG7" s="13" t="s">
        <v>39</v>
      </c>
    </row>
    <row r="8" spans="2:33" x14ac:dyDescent="0.45">
      <c r="B8" t="s">
        <v>26</v>
      </c>
      <c r="C8" t="s">
        <v>26</v>
      </c>
      <c r="G8" t="s">
        <v>30</v>
      </c>
      <c r="H8" t="s">
        <v>39</v>
      </c>
      <c r="I8" t="s">
        <v>36</v>
      </c>
      <c r="J8" s="12">
        <v>0.29166666666666669</v>
      </c>
      <c r="K8" s="12">
        <v>0.54166666666666663</v>
      </c>
      <c r="L8">
        <f>IFERROR((tblRefShift[[#This Row],[EndTime]]-tblRefShift[[#This Row],[StartTime]])*24-1, 0)</f>
        <v>4.9999999999999982</v>
      </c>
      <c r="M8" t="str">
        <f>_xlfn.CONCAT(tblRefShift[[#This Row],[Role]], "_", tblRefShift[[#This Row],[ShiftCode]])</f>
        <v>Store Manager_M5_07:00_13:00</v>
      </c>
      <c r="Q8" t="s">
        <v>39</v>
      </c>
      <c r="U8" s="13" t="s">
        <v>39</v>
      </c>
      <c r="Y8" s="15" t="s">
        <v>41</v>
      </c>
      <c r="AC8" s="15" t="s">
        <v>41</v>
      </c>
      <c r="AG8" s="13" t="s">
        <v>46</v>
      </c>
    </row>
    <row r="9" spans="2:33" x14ac:dyDescent="0.45">
      <c r="B9" t="s">
        <v>25</v>
      </c>
      <c r="C9" t="s">
        <v>26</v>
      </c>
      <c r="G9" t="s">
        <v>30</v>
      </c>
      <c r="H9" t="s">
        <v>40</v>
      </c>
      <c r="I9" t="s">
        <v>38</v>
      </c>
      <c r="J9" s="12">
        <v>0.70833333333333337</v>
      </c>
      <c r="K9" s="12">
        <v>0.95833333333333337</v>
      </c>
      <c r="L9">
        <f>IFERROR((tblRefShift[[#This Row],[EndTime]]-tblRefShift[[#This Row],[StartTime]])*24-1, 0)</f>
        <v>5</v>
      </c>
      <c r="M9" t="str">
        <f>_xlfn.CONCAT(tblRefShift[[#This Row],[Role]], "_", tblRefShift[[#This Row],[ShiftCode]])</f>
        <v>Store Manager_E5_17:00_23:00</v>
      </c>
      <c r="Q9" t="s">
        <v>40</v>
      </c>
      <c r="U9" s="13" t="s">
        <v>40</v>
      </c>
      <c r="AG9" s="13" t="s">
        <v>44</v>
      </c>
    </row>
    <row r="10" spans="2:33" x14ac:dyDescent="0.45">
      <c r="B10" t="s">
        <v>29</v>
      </c>
      <c r="C10" t="s">
        <v>29</v>
      </c>
      <c r="G10" t="s">
        <v>30</v>
      </c>
      <c r="H10" t="s">
        <v>41</v>
      </c>
      <c r="I10" t="s">
        <v>41</v>
      </c>
      <c r="J10" s="12" t="s">
        <v>41</v>
      </c>
      <c r="K10" s="12" t="s">
        <v>41</v>
      </c>
      <c r="L10">
        <f>IFERROR((tblRefShift[[#This Row],[EndTime]]-tblRefShift[[#This Row],[StartTime]])*24-1, 0)</f>
        <v>0</v>
      </c>
      <c r="M10" t="str">
        <f>_xlfn.CONCAT(tblRefShift[[#This Row],[Role]], "_", tblRefShift[[#This Row],[ShiftCode]])</f>
        <v>Store Manager_OFF</v>
      </c>
      <c r="Q10" t="s">
        <v>41</v>
      </c>
      <c r="U10" s="15" t="s">
        <v>41</v>
      </c>
      <c r="AG10" s="13" t="s">
        <v>40</v>
      </c>
    </row>
    <row r="11" spans="2:33" x14ac:dyDescent="0.45">
      <c r="G11" t="s">
        <v>27</v>
      </c>
      <c r="H11" t="s">
        <v>35</v>
      </c>
      <c r="I11" t="s">
        <v>36</v>
      </c>
      <c r="J11" s="12">
        <v>0.29166666666666669</v>
      </c>
      <c r="K11" s="12">
        <v>0.625</v>
      </c>
      <c r="L11">
        <f>IFERROR((tblRefShift[[#This Row],[EndTime]]-tblRefShift[[#This Row],[StartTime]])*24-1, 0)</f>
        <v>7</v>
      </c>
      <c r="M11" t="str">
        <f>_xlfn.CONCAT(tblRefShift[[#This Row],[Role]], "_", tblRefShift[[#This Row],[ShiftCode]])</f>
        <v>Assistant Manager_M7_07:00_15:00</v>
      </c>
      <c r="AG11" s="15" t="s">
        <v>41</v>
      </c>
    </row>
    <row r="12" spans="2:33" x14ac:dyDescent="0.45">
      <c r="G12" t="s">
        <v>27</v>
      </c>
      <c r="H12" t="s">
        <v>37</v>
      </c>
      <c r="I12" t="s">
        <v>38</v>
      </c>
      <c r="J12" s="12">
        <v>0.625</v>
      </c>
      <c r="K12" s="12">
        <v>0.95833333333333337</v>
      </c>
      <c r="L12">
        <f>IFERROR((tblRefShift[[#This Row],[EndTime]]-tblRefShift[[#This Row],[StartTime]])*24-1, 0)</f>
        <v>7</v>
      </c>
      <c r="M12" t="str">
        <f>_xlfn.CONCAT(tblRefShift[[#This Row],[Role]], "_", tblRefShift[[#This Row],[ShiftCode]])</f>
        <v>Assistant Manager_E7_15:00_23:00</v>
      </c>
    </row>
    <row r="13" spans="2:33" x14ac:dyDescent="0.45">
      <c r="G13" t="s">
        <v>27</v>
      </c>
      <c r="H13" t="s">
        <v>39</v>
      </c>
      <c r="I13" t="s">
        <v>36</v>
      </c>
      <c r="J13" s="12">
        <v>0.29166666666666669</v>
      </c>
      <c r="K13" s="12">
        <v>0.54166666666666663</v>
      </c>
      <c r="L13">
        <f>IFERROR((tblRefShift[[#This Row],[EndTime]]-tblRefShift[[#This Row],[StartTime]])*24-1, 0)</f>
        <v>4.9999999999999982</v>
      </c>
      <c r="M13" t="str">
        <f>_xlfn.CONCAT(tblRefShift[[#This Row],[Role]], "_", tblRefShift[[#This Row],[ShiftCode]])</f>
        <v>Assistant Manager_M5_07:00_13:00</v>
      </c>
    </row>
    <row r="14" spans="2:33" x14ac:dyDescent="0.45">
      <c r="G14" t="s">
        <v>27</v>
      </c>
      <c r="H14" t="s">
        <v>40</v>
      </c>
      <c r="I14" t="s">
        <v>38</v>
      </c>
      <c r="J14" s="12">
        <v>0.70833333333333337</v>
      </c>
      <c r="K14" s="12">
        <v>0.95833333333333337</v>
      </c>
      <c r="L14">
        <f>IFERROR((tblRefShift[[#This Row],[EndTime]]-tblRefShift[[#This Row],[StartTime]])*24-1, 0)</f>
        <v>5</v>
      </c>
      <c r="M14" t="str">
        <f>_xlfn.CONCAT(tblRefShift[[#This Row],[Role]], "_", tblRefShift[[#This Row],[ShiftCode]])</f>
        <v>Assistant Manager_E5_17:00_23:00</v>
      </c>
    </row>
    <row r="15" spans="2:33" x14ac:dyDescent="0.45">
      <c r="G15" t="s">
        <v>27</v>
      </c>
      <c r="H15" t="s">
        <v>41</v>
      </c>
      <c r="I15" t="s">
        <v>41</v>
      </c>
      <c r="J15" s="12" t="s">
        <v>41</v>
      </c>
      <c r="K15" s="12" t="s">
        <v>41</v>
      </c>
      <c r="L15">
        <f>IFERROR((tblRefShift[[#This Row],[EndTime]]-tblRefShift[[#This Row],[StartTime]])*24-1, 0)</f>
        <v>0</v>
      </c>
      <c r="M15" t="str">
        <f>_xlfn.CONCAT(tblRefShift[[#This Row],[Role]], "_", tblRefShift[[#This Row],[ShiftCode]])</f>
        <v>Assistant Manager_OFF</v>
      </c>
    </row>
    <row r="16" spans="2:33" x14ac:dyDescent="0.45">
      <c r="G16" t="s">
        <v>26</v>
      </c>
      <c r="H16" t="s">
        <v>42</v>
      </c>
      <c r="I16" t="s">
        <v>43</v>
      </c>
      <c r="J16" s="12">
        <v>0.41666666666666669</v>
      </c>
      <c r="K16" s="12">
        <v>0.79166666666666663</v>
      </c>
      <c r="L16">
        <f>IFERROR((tblRefShift[[#This Row],[EndTime]]-tblRefShift[[#This Row],[StartTime]])*24-1, 0)</f>
        <v>7.9999999999999982</v>
      </c>
      <c r="M16" t="str">
        <f>_xlfn.CONCAT(tblRefShift[[#This Row],[Role]], "_", tblRefShift[[#This Row],[ShiftCode]])</f>
        <v>Chef_M8_10:00_19:00</v>
      </c>
    </row>
    <row r="17" spans="7:13" x14ac:dyDescent="0.45">
      <c r="G17" t="s">
        <v>26</v>
      </c>
      <c r="H17" t="s">
        <v>44</v>
      </c>
      <c r="I17" t="s">
        <v>38</v>
      </c>
      <c r="J17" s="12">
        <v>0.58333333333333337</v>
      </c>
      <c r="K17" s="12">
        <v>0.95833333333333337</v>
      </c>
      <c r="L17">
        <f>IFERROR((tblRefShift[[#This Row],[EndTime]]-tblRefShift[[#This Row],[StartTime]])*24-1, 0)</f>
        <v>8</v>
      </c>
      <c r="M17" t="str">
        <f>_xlfn.CONCAT(tblRefShift[[#This Row],[Role]], "_", tblRefShift[[#This Row],[ShiftCode]])</f>
        <v>Chef_E8_14:00_23:00</v>
      </c>
    </row>
    <row r="18" spans="7:13" x14ac:dyDescent="0.45">
      <c r="G18" t="s">
        <v>26</v>
      </c>
      <c r="H18" t="s">
        <v>41</v>
      </c>
      <c r="I18" t="s">
        <v>41</v>
      </c>
      <c r="J18" s="12" t="s">
        <v>41</v>
      </c>
      <c r="K18" s="12" t="s">
        <v>41</v>
      </c>
      <c r="L18">
        <f>IFERROR((tblRefShift[[#This Row],[EndTime]]-tblRefShift[[#This Row],[StartTime]])*24-1, 0)</f>
        <v>0</v>
      </c>
      <c r="M18" t="str">
        <f>_xlfn.CONCAT(tblRefShift[[#This Row],[Role]], "_", tblRefShift[[#This Row],[ShiftCode]])</f>
        <v>Chef_OFF</v>
      </c>
    </row>
    <row r="19" spans="7:13" x14ac:dyDescent="0.45">
      <c r="G19" t="s">
        <v>25</v>
      </c>
      <c r="H19" t="s">
        <v>42</v>
      </c>
      <c r="I19" t="s">
        <v>43</v>
      </c>
      <c r="J19" s="12">
        <v>0.41666666666666669</v>
      </c>
      <c r="K19" s="12">
        <v>0.79166666666666663</v>
      </c>
      <c r="L19">
        <f>IFERROR((tblRefShift[[#This Row],[EndTime]]-tblRefShift[[#This Row],[StartTime]])*24-1, 0)</f>
        <v>7.9999999999999982</v>
      </c>
      <c r="M19" t="str">
        <f>_xlfn.CONCAT(tblRefShift[[#This Row],[Role]], "_", tblRefShift[[#This Row],[ShiftCode]])</f>
        <v>Assistant Chef_M8_10:00_19:00</v>
      </c>
    </row>
    <row r="20" spans="7:13" x14ac:dyDescent="0.45">
      <c r="G20" t="s">
        <v>25</v>
      </c>
      <c r="H20" t="s">
        <v>44</v>
      </c>
      <c r="I20" t="s">
        <v>38</v>
      </c>
      <c r="J20" s="12">
        <v>0.58333333333333337</v>
      </c>
      <c r="K20" s="12">
        <v>0.95833333333333337</v>
      </c>
      <c r="L20">
        <f>IFERROR((tblRefShift[[#This Row],[EndTime]]-tblRefShift[[#This Row],[StartTime]])*24-1, 0)</f>
        <v>8</v>
      </c>
      <c r="M20" t="str">
        <f>_xlfn.CONCAT(tblRefShift[[#This Row],[Role]], "_", tblRefShift[[#This Row],[ShiftCode]])</f>
        <v>Assistant Chef_E8_14:00_23:00</v>
      </c>
    </row>
    <row r="21" spans="7:13" x14ac:dyDescent="0.45">
      <c r="G21" t="s">
        <v>25</v>
      </c>
      <c r="H21" t="s">
        <v>41</v>
      </c>
      <c r="I21" t="s">
        <v>41</v>
      </c>
      <c r="J21" s="12" t="s">
        <v>41</v>
      </c>
      <c r="K21" s="12" t="s">
        <v>41</v>
      </c>
      <c r="L21">
        <f>IFERROR((tblRefShift[[#This Row],[EndTime]]-tblRefShift[[#This Row],[StartTime]])*24-1, 0)</f>
        <v>0</v>
      </c>
      <c r="M21" t="str">
        <f>_xlfn.CONCAT(tblRefShift[[#This Row],[Role]], "_", tblRefShift[[#This Row],[ShiftCode]])</f>
        <v>Assistant Chef_OFF</v>
      </c>
    </row>
    <row r="22" spans="7:13" x14ac:dyDescent="0.45">
      <c r="G22" t="s">
        <v>29</v>
      </c>
      <c r="H22" t="s">
        <v>45</v>
      </c>
      <c r="I22" t="s">
        <v>36</v>
      </c>
      <c r="J22" s="12">
        <v>0.29166666666666669</v>
      </c>
      <c r="K22" s="12">
        <v>0.66666666666666663</v>
      </c>
      <c r="L22">
        <f>IFERROR((tblRefShift[[#This Row],[EndTime]]-tblRefShift[[#This Row],[StartTime]])*24-1, 0)</f>
        <v>7.9999999999999982</v>
      </c>
      <c r="M22" t="str">
        <f>_xlfn.CONCAT(tblRefShift[[#This Row],[Role]], "_", tblRefShift[[#This Row],[ShiftCode]])</f>
        <v>Server_M8_07:00_16:00</v>
      </c>
    </row>
    <row r="23" spans="7:13" x14ac:dyDescent="0.45">
      <c r="G23" t="s">
        <v>29</v>
      </c>
      <c r="H23" t="s">
        <v>39</v>
      </c>
      <c r="I23" t="s">
        <v>36</v>
      </c>
      <c r="J23" s="12">
        <v>0.29166666666666669</v>
      </c>
      <c r="K23" s="12">
        <v>0.54166666666666663</v>
      </c>
      <c r="L23">
        <f>IFERROR((tblRefShift[[#This Row],[EndTime]]-tblRefShift[[#This Row],[StartTime]])*24-1, 0)</f>
        <v>4.9999999999999982</v>
      </c>
      <c r="M23" t="str">
        <f>_xlfn.CONCAT(tblRefShift[[#This Row],[Role]], "_", tblRefShift[[#This Row],[ShiftCode]])</f>
        <v>Server_M5_07:00_13:00</v>
      </c>
    </row>
    <row r="24" spans="7:13" x14ac:dyDescent="0.45">
      <c r="G24" t="s">
        <v>29</v>
      </c>
      <c r="H24" t="s">
        <v>46</v>
      </c>
      <c r="I24" t="s">
        <v>47</v>
      </c>
      <c r="J24" s="12">
        <v>0.41666666666666669</v>
      </c>
      <c r="K24" s="12">
        <v>0.66666666666666663</v>
      </c>
      <c r="L24">
        <f>IFERROR((tblRefShift[[#This Row],[EndTime]]-tblRefShift[[#This Row],[StartTime]])*24-1, 0)</f>
        <v>4.9999999999999982</v>
      </c>
      <c r="M24" t="str">
        <f>_xlfn.CONCAT(tblRefShift[[#This Row],[Role]], "_", tblRefShift[[#This Row],[ShiftCode]])</f>
        <v>Server_A5_10:00_16:00</v>
      </c>
    </row>
    <row r="25" spans="7:13" x14ac:dyDescent="0.45">
      <c r="G25" t="s">
        <v>29</v>
      </c>
      <c r="H25" t="s">
        <v>44</v>
      </c>
      <c r="I25" t="s">
        <v>38</v>
      </c>
      <c r="J25" s="12">
        <v>0.58333333333333337</v>
      </c>
      <c r="K25" s="12">
        <v>0.95833333333333337</v>
      </c>
      <c r="L25">
        <f>IFERROR((tblRefShift[[#This Row],[EndTime]]-tblRefShift[[#This Row],[StartTime]])*24-1, 0)</f>
        <v>8</v>
      </c>
      <c r="M25" t="str">
        <f>_xlfn.CONCAT(tblRefShift[[#This Row],[Role]], "_", tblRefShift[[#This Row],[ShiftCode]])</f>
        <v>Server_E8_14:00_23:00</v>
      </c>
    </row>
    <row r="26" spans="7:13" x14ac:dyDescent="0.45">
      <c r="G26" t="s">
        <v>29</v>
      </c>
      <c r="H26" t="s">
        <v>40</v>
      </c>
      <c r="I26" t="s">
        <v>38</v>
      </c>
      <c r="J26" s="12">
        <v>0.70833333333333337</v>
      </c>
      <c r="K26" s="12">
        <v>0.95833333333333337</v>
      </c>
      <c r="L26">
        <f>IFERROR((tblRefShift[[#This Row],[EndTime]]-tblRefShift[[#This Row],[StartTime]])*24-1, 0)</f>
        <v>5</v>
      </c>
      <c r="M26" t="str">
        <f>_xlfn.CONCAT(tblRefShift[[#This Row],[Role]], "_", tblRefShift[[#This Row],[ShiftCode]])</f>
        <v>Server_E5_17:00_23:00</v>
      </c>
    </row>
    <row r="27" spans="7:13" x14ac:dyDescent="0.45">
      <c r="G27" t="s">
        <v>29</v>
      </c>
      <c r="H27" t="s">
        <v>41</v>
      </c>
      <c r="I27" t="s">
        <v>41</v>
      </c>
      <c r="J27" s="12" t="s">
        <v>41</v>
      </c>
      <c r="K27" s="12" t="s">
        <v>41</v>
      </c>
      <c r="L27">
        <f>IFERROR((tblRefShift[[#This Row],[EndTime]]-tblRefShift[[#This Row],[StartTime]])*24-1, 0)</f>
        <v>0</v>
      </c>
      <c r="M27" t="str">
        <f>_xlfn.CONCAT(tblRefShift[[#This Row],[Role]], "_", tblRefShift[[#This Row],[ShiftCode]])</f>
        <v>Server_OFF</v>
      </c>
    </row>
  </sheetData>
  <dataValidations count="1">
    <dataValidation type="list" allowBlank="1" showInputMessage="1" showErrorMessage="1" sqref="G6:G27" xr:uid="{F719A75E-D9B9-497D-BE8F-736BBDA1DBDA}">
      <formula1>ddRole</formula1>
    </dataValidation>
  </dataValidations>
  <pageMargins left="0.7" right="0.7" top="0.75" bottom="0.75" header="0.3" footer="0.3"/>
  <pageSetup orientation="portrait" r:id="rId1"/>
  <tableParts count="7">
    <tablePart r:id="rId2"/>
    <tablePart r:id="rId3"/>
    <tablePart r:id="rId4"/>
    <tablePart r:id="rId5"/>
    <tablePart r:id="rId6"/>
    <tablePart r:id="rId7"/>
    <tablePart r:id="rId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AE550-D6FD-4FD2-9643-AA1A7976B7F9}">
  <sheetPr codeName="SheetSetting"/>
  <dimension ref="B2:J31"/>
  <sheetViews>
    <sheetView showGridLines="0" workbookViewId="0">
      <selection activeCell="B19" sqref="B19"/>
    </sheetView>
  </sheetViews>
  <sheetFormatPr defaultRowHeight="14.25" x14ac:dyDescent="0.45"/>
  <cols>
    <col min="1" max="1" width="4.59765625" customWidth="1"/>
    <col min="2" max="2" width="20.6640625" customWidth="1"/>
    <col min="3" max="3" width="15.86328125" customWidth="1"/>
    <col min="4" max="6" width="4.19921875" customWidth="1"/>
    <col min="7" max="7" width="16.796875" bestFit="1" customWidth="1"/>
    <col min="8" max="8" width="7.33203125" customWidth="1"/>
    <col min="9" max="9" width="17.73046875" bestFit="1" customWidth="1"/>
    <col min="10" max="10" width="19.265625" bestFit="1" customWidth="1"/>
  </cols>
  <sheetData>
    <row r="2" spans="2:10" ht="17.649999999999999" thickBot="1" x14ac:dyDescent="0.6">
      <c r="B2" s="5" t="s">
        <v>97</v>
      </c>
      <c r="C2" s="5"/>
    </row>
    <row r="3" spans="2:10" ht="14.65" thickTop="1" x14ac:dyDescent="0.45"/>
    <row r="4" spans="2:10" x14ac:dyDescent="0.45">
      <c r="B4" s="21" t="s">
        <v>98</v>
      </c>
      <c r="C4" s="22">
        <v>1.5</v>
      </c>
    </row>
    <row r="5" spans="2:10" x14ac:dyDescent="0.45">
      <c r="B5" s="21" t="s">
        <v>99</v>
      </c>
      <c r="C5" s="22">
        <v>1.5</v>
      </c>
    </row>
    <row r="6" spans="2:10" x14ac:dyDescent="0.45">
      <c r="B6" s="21" t="s">
        <v>100</v>
      </c>
      <c r="C6" s="22">
        <v>2</v>
      </c>
    </row>
    <row r="9" spans="2:10" ht="17.649999999999999" thickBot="1" x14ac:dyDescent="0.6">
      <c r="B9" s="5" t="s">
        <v>123</v>
      </c>
      <c r="C9" s="5"/>
    </row>
    <row r="10" spans="2:10" ht="14.65" thickTop="1" x14ac:dyDescent="0.45"/>
    <row r="11" spans="2:10" ht="17.649999999999999" thickBot="1" x14ac:dyDescent="0.6">
      <c r="B11" s="21" t="s">
        <v>124</v>
      </c>
      <c r="C11" s="38">
        <f>GETPIVOTDATA("[Measures].[HolidayWeekendCount]",$G$17)</f>
        <v>31</v>
      </c>
      <c r="G11" s="5" t="s">
        <v>155</v>
      </c>
      <c r="H11" s="5"/>
      <c r="I11" s="5"/>
      <c r="J11" s="5"/>
    </row>
    <row r="12" spans="2:10" ht="14.65" thickTop="1" x14ac:dyDescent="0.45"/>
    <row r="13" spans="2:10" ht="14.25" customHeight="1" x14ac:dyDescent="0.45">
      <c r="G13" s="53" t="s">
        <v>156</v>
      </c>
      <c r="H13" s="53"/>
      <c r="I13" s="53"/>
      <c r="J13" s="53"/>
    </row>
    <row r="14" spans="2:10" x14ac:dyDescent="0.45">
      <c r="G14" s="53"/>
      <c r="H14" s="53"/>
      <c r="I14" s="53"/>
      <c r="J14" s="53"/>
    </row>
    <row r="15" spans="2:10" x14ac:dyDescent="0.45">
      <c r="G15" s="53"/>
      <c r="H15" s="53"/>
      <c r="I15" s="53"/>
      <c r="J15" s="53"/>
    </row>
    <row r="17" spans="7:10" x14ac:dyDescent="0.45">
      <c r="G17" s="35" t="s">
        <v>14</v>
      </c>
      <c r="H17" s="35" t="s">
        <v>110</v>
      </c>
      <c r="I17" t="s">
        <v>121</v>
      </c>
      <c r="J17" t="s">
        <v>122</v>
      </c>
    </row>
    <row r="18" spans="7:10" x14ac:dyDescent="0.45">
      <c r="G18" t="s">
        <v>61</v>
      </c>
      <c r="I18">
        <v>9</v>
      </c>
      <c r="J18">
        <v>31</v>
      </c>
    </row>
    <row r="19" spans="7:10" x14ac:dyDescent="0.45">
      <c r="G19" t="s">
        <v>50</v>
      </c>
      <c r="I19">
        <v>29</v>
      </c>
      <c r="J19">
        <v>31</v>
      </c>
    </row>
    <row r="20" spans="7:10" x14ac:dyDescent="0.45">
      <c r="G20" t="s">
        <v>57</v>
      </c>
      <c r="I20">
        <v>5</v>
      </c>
      <c r="J20">
        <v>31</v>
      </c>
    </row>
    <row r="21" spans="7:10" x14ac:dyDescent="0.45">
      <c r="G21" t="s">
        <v>53</v>
      </c>
      <c r="I21">
        <v>23</v>
      </c>
      <c r="J21">
        <v>31</v>
      </c>
    </row>
    <row r="22" spans="7:10" x14ac:dyDescent="0.45">
      <c r="G22" t="s">
        <v>52</v>
      </c>
      <c r="I22">
        <v>4</v>
      </c>
      <c r="J22">
        <v>31</v>
      </c>
    </row>
    <row r="23" spans="7:10" x14ac:dyDescent="0.45">
      <c r="G23" t="s">
        <v>48</v>
      </c>
      <c r="I23">
        <v>19</v>
      </c>
      <c r="J23">
        <v>31</v>
      </c>
    </row>
    <row r="24" spans="7:10" x14ac:dyDescent="0.45">
      <c r="G24" t="s">
        <v>58</v>
      </c>
      <c r="I24">
        <v>30</v>
      </c>
      <c r="J24">
        <v>31</v>
      </c>
    </row>
    <row r="25" spans="7:10" x14ac:dyDescent="0.45">
      <c r="G25" t="s">
        <v>62</v>
      </c>
      <c r="I25">
        <v>25</v>
      </c>
      <c r="J25">
        <v>31</v>
      </c>
    </row>
    <row r="26" spans="7:10" x14ac:dyDescent="0.45">
      <c r="G26" t="s">
        <v>56</v>
      </c>
      <c r="I26">
        <v>26</v>
      </c>
      <c r="J26">
        <v>31</v>
      </c>
    </row>
    <row r="27" spans="7:10" x14ac:dyDescent="0.45">
      <c r="G27" t="s">
        <v>55</v>
      </c>
      <c r="I27">
        <v>8</v>
      </c>
      <c r="J27">
        <v>31</v>
      </c>
    </row>
    <row r="28" spans="7:10" x14ac:dyDescent="0.45">
      <c r="G28" t="s">
        <v>54</v>
      </c>
      <c r="I28">
        <v>30</v>
      </c>
      <c r="J28">
        <v>31</v>
      </c>
    </row>
    <row r="29" spans="7:10" x14ac:dyDescent="0.45">
      <c r="G29" t="s">
        <v>59</v>
      </c>
      <c r="I29">
        <v>10</v>
      </c>
      <c r="J29">
        <v>31</v>
      </c>
    </row>
    <row r="30" spans="7:10" x14ac:dyDescent="0.45">
      <c r="G30" t="s">
        <v>51</v>
      </c>
      <c r="I30">
        <v>30</v>
      </c>
      <c r="J30">
        <v>31</v>
      </c>
    </row>
    <row r="31" spans="7:10" x14ac:dyDescent="0.45">
      <c r="G31" t="s">
        <v>120</v>
      </c>
      <c r="I31">
        <v>248</v>
      </c>
      <c r="J31">
        <v>31</v>
      </c>
    </row>
  </sheetData>
  <mergeCells count="1">
    <mergeCell ref="G13:J1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10005-C5E3-427F-A085-25418FF3E508}">
  <sheetPr codeName="SheetPublicHoliday"/>
  <dimension ref="B2:F28"/>
  <sheetViews>
    <sheetView showGridLines="0" zoomScale="115" zoomScaleNormal="115" workbookViewId="0">
      <selection activeCell="E8" sqref="E8"/>
    </sheetView>
  </sheetViews>
  <sheetFormatPr defaultRowHeight="14.25" x14ac:dyDescent="0.45"/>
  <cols>
    <col min="1" max="1" width="3.06640625" customWidth="1"/>
    <col min="5" max="5" width="10.73046875" customWidth="1"/>
    <col min="6" max="6" width="19.1328125" customWidth="1"/>
  </cols>
  <sheetData>
    <row r="2" spans="2:6" ht="17.649999999999999" thickBot="1" x14ac:dyDescent="0.6">
      <c r="B2" s="5" t="s">
        <v>0</v>
      </c>
      <c r="C2" s="5"/>
      <c r="D2" s="5"/>
      <c r="E2" s="5"/>
      <c r="F2" s="5"/>
    </row>
    <row r="3" spans="2:6" ht="14.65" thickTop="1" x14ac:dyDescent="0.45"/>
    <row r="4" spans="2:6" x14ac:dyDescent="0.45">
      <c r="B4" s="54" t="s">
        <v>1</v>
      </c>
      <c r="C4" s="55"/>
      <c r="D4" s="55"/>
      <c r="E4" s="55"/>
      <c r="F4" s="56"/>
    </row>
    <row r="5" spans="2:6" ht="15.75" customHeight="1" x14ac:dyDescent="0.45">
      <c r="B5" s="57"/>
      <c r="C5" s="58"/>
      <c r="D5" s="58"/>
      <c r="E5" s="58"/>
      <c r="F5" s="59"/>
    </row>
    <row r="7" spans="2:6" x14ac:dyDescent="0.45">
      <c r="B7" s="6" t="s">
        <v>2</v>
      </c>
      <c r="C7" s="6" t="s">
        <v>3</v>
      </c>
      <c r="D7" s="6" t="s">
        <v>4</v>
      </c>
      <c r="E7" s="7" t="s">
        <v>5</v>
      </c>
      <c r="F7" s="6" t="s">
        <v>6</v>
      </c>
    </row>
    <row r="8" spans="2:6" x14ac:dyDescent="0.45">
      <c r="B8">
        <v>1</v>
      </c>
      <c r="C8">
        <v>1</v>
      </c>
      <c r="D8">
        <v>2026</v>
      </c>
      <c r="E8" s="8">
        <f t="shared" ref="E8:E28" si="0">DATE(D8,C8,B8)</f>
        <v>46023</v>
      </c>
      <c r="F8" t="s">
        <v>7</v>
      </c>
    </row>
    <row r="9" spans="2:6" x14ac:dyDescent="0.45">
      <c r="B9">
        <v>7</v>
      </c>
      <c r="C9">
        <v>1</v>
      </c>
      <c r="D9">
        <v>2026</v>
      </c>
      <c r="E9" s="8">
        <f t="shared" si="0"/>
        <v>46029</v>
      </c>
      <c r="F9" t="s">
        <v>8</v>
      </c>
    </row>
    <row r="10" spans="2:6" x14ac:dyDescent="0.45">
      <c r="B10" s="26">
        <v>18</v>
      </c>
      <c r="C10" s="26">
        <v>3</v>
      </c>
      <c r="D10" s="26">
        <v>2026</v>
      </c>
      <c r="E10" s="27">
        <f t="shared" si="0"/>
        <v>46099</v>
      </c>
      <c r="F10" s="26" t="s">
        <v>8</v>
      </c>
    </row>
    <row r="11" spans="2:6" x14ac:dyDescent="0.45">
      <c r="B11">
        <v>14</v>
      </c>
      <c r="C11">
        <v>4</v>
      </c>
      <c r="D11">
        <v>2026</v>
      </c>
      <c r="E11" s="8">
        <f t="shared" si="0"/>
        <v>46126</v>
      </c>
      <c r="F11" t="s">
        <v>8</v>
      </c>
    </row>
    <row r="12" spans="2:6" x14ac:dyDescent="0.45">
      <c r="B12">
        <v>15</v>
      </c>
      <c r="C12">
        <v>4</v>
      </c>
      <c r="D12">
        <v>2026</v>
      </c>
      <c r="E12" s="8">
        <f t="shared" si="0"/>
        <v>46127</v>
      </c>
      <c r="F12" t="s">
        <v>8</v>
      </c>
    </row>
    <row r="13" spans="2:6" x14ac:dyDescent="0.45">
      <c r="B13">
        <v>16</v>
      </c>
      <c r="C13">
        <v>4</v>
      </c>
      <c r="D13">
        <v>2026</v>
      </c>
      <c r="E13" s="8">
        <f t="shared" si="0"/>
        <v>46128</v>
      </c>
      <c r="F13" t="s">
        <v>8</v>
      </c>
    </row>
    <row r="14" spans="2:6" x14ac:dyDescent="0.45">
      <c r="B14">
        <v>1</v>
      </c>
      <c r="C14">
        <v>5</v>
      </c>
      <c r="D14">
        <v>2026</v>
      </c>
      <c r="E14" s="8">
        <f t="shared" si="0"/>
        <v>46143</v>
      </c>
      <c r="F14" t="s">
        <v>8</v>
      </c>
    </row>
    <row r="15" spans="2:6" x14ac:dyDescent="0.45">
      <c r="B15">
        <v>5</v>
      </c>
      <c r="C15">
        <v>5</v>
      </c>
      <c r="D15">
        <v>2026</v>
      </c>
      <c r="E15" s="8">
        <f t="shared" si="0"/>
        <v>46147</v>
      </c>
      <c r="F15" t="s">
        <v>8</v>
      </c>
    </row>
    <row r="16" spans="2:6" x14ac:dyDescent="0.45">
      <c r="B16">
        <v>14</v>
      </c>
      <c r="C16">
        <v>5</v>
      </c>
      <c r="D16">
        <v>2026</v>
      </c>
      <c r="E16" s="8">
        <f t="shared" si="0"/>
        <v>46156</v>
      </c>
      <c r="F16" t="s">
        <v>8</v>
      </c>
    </row>
    <row r="17" spans="2:6" x14ac:dyDescent="0.45">
      <c r="B17">
        <v>18</v>
      </c>
      <c r="C17">
        <v>6</v>
      </c>
      <c r="D17">
        <v>2026</v>
      </c>
      <c r="E17" s="8">
        <f t="shared" si="0"/>
        <v>46191</v>
      </c>
      <c r="F17" t="s">
        <v>8</v>
      </c>
    </row>
    <row r="18" spans="2:6" x14ac:dyDescent="0.45">
      <c r="B18">
        <v>24</v>
      </c>
      <c r="C18">
        <v>9</v>
      </c>
      <c r="D18">
        <v>2026</v>
      </c>
      <c r="E18" s="8">
        <f t="shared" si="0"/>
        <v>46289</v>
      </c>
      <c r="F18" t="s">
        <v>8</v>
      </c>
    </row>
    <row r="19" spans="2:6" x14ac:dyDescent="0.45">
      <c r="B19">
        <v>10</v>
      </c>
      <c r="C19">
        <v>10</v>
      </c>
      <c r="D19">
        <v>2026</v>
      </c>
      <c r="E19" s="8">
        <f t="shared" si="0"/>
        <v>46305</v>
      </c>
      <c r="F19" t="s">
        <v>8</v>
      </c>
    </row>
    <row r="20" spans="2:6" x14ac:dyDescent="0.45">
      <c r="B20">
        <v>11</v>
      </c>
      <c r="C20">
        <v>10</v>
      </c>
      <c r="D20">
        <v>2026</v>
      </c>
      <c r="E20" s="8">
        <f t="shared" si="0"/>
        <v>46306</v>
      </c>
      <c r="F20" t="s">
        <v>8</v>
      </c>
    </row>
    <row r="21" spans="2:6" x14ac:dyDescent="0.45">
      <c r="B21">
        <v>12</v>
      </c>
      <c r="C21">
        <v>10</v>
      </c>
      <c r="D21">
        <v>2026</v>
      </c>
      <c r="E21" s="8">
        <f t="shared" si="0"/>
        <v>46307</v>
      </c>
      <c r="F21" t="s">
        <v>8</v>
      </c>
    </row>
    <row r="22" spans="2:6" x14ac:dyDescent="0.45">
      <c r="B22">
        <v>15</v>
      </c>
      <c r="C22">
        <v>10</v>
      </c>
      <c r="D22">
        <v>2026</v>
      </c>
      <c r="E22" s="8">
        <f t="shared" si="0"/>
        <v>46310</v>
      </c>
      <c r="F22" t="s">
        <v>8</v>
      </c>
    </row>
    <row r="23" spans="2:6" x14ac:dyDescent="0.45">
      <c r="B23">
        <v>29</v>
      </c>
      <c r="C23">
        <v>10</v>
      </c>
      <c r="D23">
        <v>2026</v>
      </c>
      <c r="E23" s="8">
        <f t="shared" si="0"/>
        <v>46324</v>
      </c>
      <c r="F23" t="s">
        <v>8</v>
      </c>
    </row>
    <row r="24" spans="2:6" x14ac:dyDescent="0.45">
      <c r="B24">
        <v>9</v>
      </c>
      <c r="C24">
        <v>11</v>
      </c>
      <c r="D24">
        <v>2026</v>
      </c>
      <c r="E24" s="8">
        <f t="shared" si="0"/>
        <v>46335</v>
      </c>
      <c r="F24" t="s">
        <v>8</v>
      </c>
    </row>
    <row r="25" spans="2:6" x14ac:dyDescent="0.45">
      <c r="B25">
        <v>23</v>
      </c>
      <c r="C25">
        <v>11</v>
      </c>
      <c r="D25">
        <v>2026</v>
      </c>
      <c r="E25" s="8">
        <f t="shared" si="0"/>
        <v>46349</v>
      </c>
      <c r="F25" t="s">
        <v>8</v>
      </c>
    </row>
    <row r="26" spans="2:6" x14ac:dyDescent="0.45">
      <c r="B26">
        <v>24</v>
      </c>
      <c r="C26">
        <v>12</v>
      </c>
      <c r="D26">
        <v>2026</v>
      </c>
      <c r="E26" s="8">
        <f t="shared" si="0"/>
        <v>46380</v>
      </c>
      <c r="F26" t="s">
        <v>9</v>
      </c>
    </row>
    <row r="27" spans="2:6" x14ac:dyDescent="0.45">
      <c r="B27">
        <v>25</v>
      </c>
      <c r="C27">
        <v>12</v>
      </c>
      <c r="D27">
        <v>2026</v>
      </c>
      <c r="E27" s="8">
        <f t="shared" si="0"/>
        <v>46381</v>
      </c>
      <c r="F27" t="s">
        <v>10</v>
      </c>
    </row>
    <row r="28" spans="2:6" x14ac:dyDescent="0.45">
      <c r="B28">
        <v>31</v>
      </c>
      <c r="C28">
        <v>12</v>
      </c>
      <c r="D28">
        <v>2026</v>
      </c>
      <c r="E28" s="8">
        <f t="shared" si="0"/>
        <v>46387</v>
      </c>
      <c r="F28" t="s">
        <v>11</v>
      </c>
    </row>
  </sheetData>
  <mergeCells count="1">
    <mergeCell ref="B4:F5"/>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D60A1-A9C2-4D80-82C4-2E2EEAB7E29F}">
  <sheetPr codeName="SheettblWeeklyData"/>
  <dimension ref="A1:P92"/>
  <sheetViews>
    <sheetView showGridLines="0" workbookViewId="0">
      <selection activeCell="G25" sqref="G25"/>
    </sheetView>
  </sheetViews>
  <sheetFormatPr defaultRowHeight="14.25" x14ac:dyDescent="0.45"/>
  <cols>
    <col min="1" max="1" width="15.1328125" bestFit="1" customWidth="1"/>
    <col min="2" max="2" width="15" bestFit="1" customWidth="1"/>
    <col min="3" max="3" width="13.73046875" bestFit="1" customWidth="1"/>
    <col min="4" max="4" width="9.19921875" bestFit="1" customWidth="1"/>
    <col min="5" max="5" width="11.9296875" bestFit="1" customWidth="1"/>
    <col min="6" max="6" width="10.06640625" bestFit="1" customWidth="1"/>
    <col min="7" max="7" width="10.46484375" bestFit="1" customWidth="1"/>
    <col min="8" max="8" width="13.86328125" bestFit="1" customWidth="1"/>
    <col min="9" max="9" width="9.9296875" bestFit="1" customWidth="1"/>
    <col min="10" max="10" width="11.86328125" bestFit="1" customWidth="1"/>
    <col min="11" max="11" width="10.3984375" bestFit="1" customWidth="1"/>
    <col min="12" max="12" width="18.53125" bestFit="1" customWidth="1"/>
    <col min="13" max="13" width="13.3984375" bestFit="1" customWidth="1"/>
    <col min="14" max="14" width="7.33203125" bestFit="1" customWidth="1"/>
    <col min="15" max="15" width="15.86328125" bestFit="1" customWidth="1"/>
    <col min="16" max="16" width="13.9296875" bestFit="1" customWidth="1"/>
  </cols>
  <sheetData>
    <row r="1" spans="1:16" x14ac:dyDescent="0.45">
      <c r="A1" t="s">
        <v>14</v>
      </c>
      <c r="B1" t="s">
        <v>12</v>
      </c>
      <c r="C1" t="s">
        <v>13</v>
      </c>
      <c r="D1" t="s">
        <v>15</v>
      </c>
      <c r="E1" t="s">
        <v>16</v>
      </c>
      <c r="F1" t="s">
        <v>18</v>
      </c>
      <c r="G1" t="s">
        <v>109</v>
      </c>
      <c r="H1" t="s">
        <v>31</v>
      </c>
      <c r="I1" t="s">
        <v>110</v>
      </c>
      <c r="J1" t="s">
        <v>111</v>
      </c>
      <c r="K1" t="s">
        <v>112</v>
      </c>
      <c r="L1" t="s">
        <v>113</v>
      </c>
      <c r="M1" t="s">
        <v>114</v>
      </c>
      <c r="N1" t="s">
        <v>115</v>
      </c>
      <c r="O1" t="s">
        <v>116</v>
      </c>
      <c r="P1" t="s">
        <v>20</v>
      </c>
    </row>
    <row r="2" spans="1:16" x14ac:dyDescent="0.45">
      <c r="A2" t="s">
        <v>48</v>
      </c>
      <c r="B2" t="s">
        <v>30</v>
      </c>
      <c r="C2" t="s">
        <v>28</v>
      </c>
      <c r="D2" t="s">
        <v>49</v>
      </c>
      <c r="E2">
        <v>30</v>
      </c>
      <c r="F2">
        <v>40</v>
      </c>
      <c r="G2" t="s">
        <v>64</v>
      </c>
      <c r="H2" t="s">
        <v>35</v>
      </c>
      <c r="I2" s="24">
        <f>INDEX(Schedule!$9:$9, MATCH(tblWeeklyData[[#This Row],[WeekDay]], tblSchedule[#Headers],0))</f>
        <v>46111</v>
      </c>
      <c r="J2" t="str">
        <f>IF(WEEKDAY(tblWeeklyData[[#This Row],[Date]], 2)&gt;=6, "YES", "NO")</f>
        <v>NO</v>
      </c>
      <c r="K2" t="str">
        <f>IF(NOT(ISERROR(MATCH(tblWeeklyData[[#This Row],[Date]], tblPublicHoliday[HOLIDAY], 0))), "YES", "NO")</f>
        <v>NO</v>
      </c>
      <c r="L2" t="str">
        <f>IF(OR(tblWeeklyData[[#This Row],[IsWeekend]]="YES", tblWeeklyData[[#This Row],[IsHoliday]]="YES"), "YES", "NO")</f>
        <v>NO</v>
      </c>
      <c r="M2">
        <f>INDEX(tblRefShift[Hour], MATCH(_xlfn.CONCAT(tblWeeklyData[[#This Row],[Role]],"_", tblWeeklyData[[#This Row],[ShiftCode]]), tblRefShift[ShiftID], 0))</f>
        <v>7</v>
      </c>
      <c r="N2">
        <f>IF(tblWeeklyData[[#This Row],[IsHoliday]]="YES", holiday_rate_multiplier, IF(WEEKDAY(tblWeeklyData[[#This Row],[Date]], 2)=6, sat_rate_multiplier, IF(WEEKDAY(tblWeeklyData[[#This Row],[Date]], 2)=7, sun_rate_multiplier, 1))) * tblWeeklyData[[#This Row],[HourlyRate]]*tblWeeklyData[[#This Row],[WorkingHour]]</f>
        <v>210</v>
      </c>
      <c r="O2">
        <f>tblWeeklyData[[#This Row],[MaxHour]]/7</f>
        <v>5.7142857142857144</v>
      </c>
      <c r="P2">
        <f>IF(AND(tblWeeklyData[[#This Row],[HolidayOrWeekend]]="YES", tblWeeklyData[[#This Row],[WorkingHour]]&gt;0), 1, 0)</f>
        <v>0</v>
      </c>
    </row>
    <row r="3" spans="1:16" x14ac:dyDescent="0.45">
      <c r="A3" t="s">
        <v>48</v>
      </c>
      <c r="B3" t="s">
        <v>30</v>
      </c>
      <c r="C3" t="s">
        <v>28</v>
      </c>
      <c r="D3" t="s">
        <v>49</v>
      </c>
      <c r="E3">
        <v>30</v>
      </c>
      <c r="F3">
        <v>40</v>
      </c>
      <c r="G3" t="s">
        <v>65</v>
      </c>
      <c r="H3" t="s">
        <v>35</v>
      </c>
      <c r="I3" s="24">
        <f>INDEX(Schedule!$9:$9, MATCH(tblWeeklyData[[#This Row],[WeekDay]], tblSchedule[#Headers],0))</f>
        <v>46112</v>
      </c>
      <c r="J3" t="str">
        <f>IF(WEEKDAY(tblWeeklyData[[#This Row],[Date]], 2)&gt;=6, "YES", "NO")</f>
        <v>NO</v>
      </c>
      <c r="K3" t="str">
        <f>IF(NOT(ISERROR(MATCH(tblWeeklyData[[#This Row],[Date]], tblPublicHoliday[HOLIDAY], 0))), "YES", "NO")</f>
        <v>NO</v>
      </c>
      <c r="L3" t="str">
        <f>IF(OR(tblWeeklyData[[#This Row],[IsWeekend]]="YES", tblWeeklyData[[#This Row],[IsHoliday]]="YES"), "YES", "NO")</f>
        <v>NO</v>
      </c>
      <c r="M3">
        <f>INDEX(tblRefShift[Hour], MATCH(_xlfn.CONCAT(tblWeeklyData[[#This Row],[Role]],"_", tblWeeklyData[[#This Row],[ShiftCode]]), tblRefShift[ShiftID], 0))</f>
        <v>7</v>
      </c>
      <c r="N3">
        <f>IF(tblWeeklyData[[#This Row],[IsHoliday]]="YES", holiday_rate_multiplier, IF(WEEKDAY(tblWeeklyData[[#This Row],[Date]], 2)=6, sat_rate_multiplier, IF(WEEKDAY(tblWeeklyData[[#This Row],[Date]], 2)=7, sun_rate_multiplier, 1))) * tblWeeklyData[[#This Row],[HourlyRate]]*tblWeeklyData[[#This Row],[WorkingHour]]</f>
        <v>210</v>
      </c>
      <c r="O3">
        <f>tblWeeklyData[[#This Row],[MaxHour]]/7</f>
        <v>5.7142857142857144</v>
      </c>
      <c r="P3">
        <f>IF(AND(tblWeeklyData[[#This Row],[HolidayOrWeekend]]="YES", tblWeeklyData[[#This Row],[WorkingHour]]&gt;0), 1, 0)</f>
        <v>0</v>
      </c>
    </row>
    <row r="4" spans="1:16" x14ac:dyDescent="0.45">
      <c r="A4" t="s">
        <v>48</v>
      </c>
      <c r="B4" t="s">
        <v>30</v>
      </c>
      <c r="C4" t="s">
        <v>28</v>
      </c>
      <c r="D4" t="s">
        <v>49</v>
      </c>
      <c r="E4">
        <v>30</v>
      </c>
      <c r="F4">
        <v>40</v>
      </c>
      <c r="G4" t="s">
        <v>66</v>
      </c>
      <c r="H4" t="s">
        <v>40</v>
      </c>
      <c r="I4" s="24">
        <f>INDEX(Schedule!$9:$9, MATCH(tblWeeklyData[[#This Row],[WeekDay]], tblSchedule[#Headers],0))</f>
        <v>46113</v>
      </c>
      <c r="J4" t="str">
        <f>IF(WEEKDAY(tblWeeklyData[[#This Row],[Date]], 2)&gt;=6, "YES", "NO")</f>
        <v>NO</v>
      </c>
      <c r="K4" t="str">
        <f>IF(NOT(ISERROR(MATCH(tblWeeklyData[[#This Row],[Date]], tblPublicHoliday[HOLIDAY], 0))), "YES", "NO")</f>
        <v>NO</v>
      </c>
      <c r="L4" t="str">
        <f>IF(OR(tblWeeklyData[[#This Row],[IsWeekend]]="YES", tblWeeklyData[[#This Row],[IsHoliday]]="YES"), "YES", "NO")</f>
        <v>NO</v>
      </c>
      <c r="M4">
        <f>INDEX(tblRefShift[Hour], MATCH(_xlfn.CONCAT(tblWeeklyData[[#This Row],[Role]],"_", tblWeeklyData[[#This Row],[ShiftCode]]), tblRefShift[ShiftID], 0))</f>
        <v>5</v>
      </c>
      <c r="N4">
        <f>IF(tblWeeklyData[[#This Row],[IsHoliday]]="YES", holiday_rate_multiplier, IF(WEEKDAY(tblWeeklyData[[#This Row],[Date]], 2)=6, sat_rate_multiplier, IF(WEEKDAY(tblWeeklyData[[#This Row],[Date]], 2)=7, sun_rate_multiplier, 1))) * tblWeeklyData[[#This Row],[HourlyRate]]*tblWeeklyData[[#This Row],[WorkingHour]]</f>
        <v>150</v>
      </c>
      <c r="O4">
        <f>tblWeeklyData[[#This Row],[MaxHour]]/7</f>
        <v>5.7142857142857144</v>
      </c>
      <c r="P4">
        <f>IF(AND(tblWeeklyData[[#This Row],[HolidayOrWeekend]]="YES", tblWeeklyData[[#This Row],[WorkingHour]]&gt;0), 1, 0)</f>
        <v>0</v>
      </c>
    </row>
    <row r="5" spans="1:16" x14ac:dyDescent="0.45">
      <c r="A5" t="s">
        <v>48</v>
      </c>
      <c r="B5" t="s">
        <v>30</v>
      </c>
      <c r="C5" t="s">
        <v>28</v>
      </c>
      <c r="D5" t="s">
        <v>49</v>
      </c>
      <c r="E5">
        <v>30</v>
      </c>
      <c r="F5">
        <v>40</v>
      </c>
      <c r="G5" t="s">
        <v>67</v>
      </c>
      <c r="H5" t="s">
        <v>41</v>
      </c>
      <c r="I5" s="24">
        <f>INDEX(Schedule!$9:$9, MATCH(tblWeeklyData[[#This Row],[WeekDay]], tblSchedule[#Headers],0))</f>
        <v>46114</v>
      </c>
      <c r="J5" t="str">
        <f>IF(WEEKDAY(tblWeeklyData[[#This Row],[Date]], 2)&gt;=6, "YES", "NO")</f>
        <v>NO</v>
      </c>
      <c r="K5" t="str">
        <f>IF(NOT(ISERROR(MATCH(tblWeeklyData[[#This Row],[Date]], tblPublicHoliday[HOLIDAY], 0))), "YES", "NO")</f>
        <v>NO</v>
      </c>
      <c r="L5" t="str">
        <f>IF(OR(tblWeeklyData[[#This Row],[IsWeekend]]="YES", tblWeeklyData[[#This Row],[IsHoliday]]="YES"), "YES", "NO")</f>
        <v>NO</v>
      </c>
      <c r="M5">
        <f>INDEX(tblRefShift[Hour], MATCH(_xlfn.CONCAT(tblWeeklyData[[#This Row],[Role]],"_", tblWeeklyData[[#This Row],[ShiftCode]]), tblRefShift[ShiftID], 0))</f>
        <v>0</v>
      </c>
      <c r="N5">
        <f>IF(tblWeeklyData[[#This Row],[IsHoliday]]="YES", holiday_rate_multiplier, IF(WEEKDAY(tblWeeklyData[[#This Row],[Date]], 2)=6, sat_rate_multiplier, IF(WEEKDAY(tblWeeklyData[[#This Row],[Date]], 2)=7, sun_rate_multiplier, 1))) * tblWeeklyData[[#This Row],[HourlyRate]]*tblWeeklyData[[#This Row],[WorkingHour]]</f>
        <v>0</v>
      </c>
      <c r="O5">
        <f>tblWeeklyData[[#This Row],[MaxHour]]/7</f>
        <v>5.7142857142857144</v>
      </c>
      <c r="P5">
        <f>IF(AND(tblWeeklyData[[#This Row],[HolidayOrWeekend]]="YES", tblWeeklyData[[#This Row],[WorkingHour]]&gt;0), 1, 0)</f>
        <v>0</v>
      </c>
    </row>
    <row r="6" spans="1:16" x14ac:dyDescent="0.45">
      <c r="A6" t="s">
        <v>48</v>
      </c>
      <c r="B6" t="s">
        <v>30</v>
      </c>
      <c r="C6" t="s">
        <v>28</v>
      </c>
      <c r="D6" t="s">
        <v>49</v>
      </c>
      <c r="E6">
        <v>30</v>
      </c>
      <c r="F6">
        <v>40</v>
      </c>
      <c r="G6" t="s">
        <v>68</v>
      </c>
      <c r="H6" t="s">
        <v>35</v>
      </c>
      <c r="I6" s="24">
        <f>INDEX(Schedule!$9:$9, MATCH(tblWeeklyData[[#This Row],[WeekDay]], tblSchedule[#Headers],0))</f>
        <v>46115</v>
      </c>
      <c r="J6" t="str">
        <f>IF(WEEKDAY(tblWeeklyData[[#This Row],[Date]], 2)&gt;=6, "YES", "NO")</f>
        <v>NO</v>
      </c>
      <c r="K6" t="str">
        <f>IF(NOT(ISERROR(MATCH(tblWeeklyData[[#This Row],[Date]], tblPublicHoliday[HOLIDAY], 0))), "YES", "NO")</f>
        <v>NO</v>
      </c>
      <c r="L6" t="str">
        <f>IF(OR(tblWeeklyData[[#This Row],[IsWeekend]]="YES", tblWeeklyData[[#This Row],[IsHoliday]]="YES"), "YES", "NO")</f>
        <v>NO</v>
      </c>
      <c r="M6">
        <f>INDEX(tblRefShift[Hour], MATCH(_xlfn.CONCAT(tblWeeklyData[[#This Row],[Role]],"_", tblWeeklyData[[#This Row],[ShiftCode]]), tblRefShift[ShiftID], 0))</f>
        <v>7</v>
      </c>
      <c r="N6">
        <f>IF(tblWeeklyData[[#This Row],[IsHoliday]]="YES", holiday_rate_multiplier, IF(WEEKDAY(tblWeeklyData[[#This Row],[Date]], 2)=6, sat_rate_multiplier, IF(WEEKDAY(tblWeeklyData[[#This Row],[Date]], 2)=7, sun_rate_multiplier, 1))) * tblWeeklyData[[#This Row],[HourlyRate]]*tblWeeklyData[[#This Row],[WorkingHour]]</f>
        <v>210</v>
      </c>
      <c r="O6">
        <f>tblWeeklyData[[#This Row],[MaxHour]]/7</f>
        <v>5.7142857142857144</v>
      </c>
      <c r="P6">
        <f>IF(AND(tblWeeklyData[[#This Row],[HolidayOrWeekend]]="YES", tblWeeklyData[[#This Row],[WorkingHour]]&gt;0), 1, 0)</f>
        <v>0</v>
      </c>
    </row>
    <row r="7" spans="1:16" x14ac:dyDescent="0.45">
      <c r="A7" t="s">
        <v>48</v>
      </c>
      <c r="B7" t="s">
        <v>30</v>
      </c>
      <c r="C7" t="s">
        <v>28</v>
      </c>
      <c r="D7" t="s">
        <v>49</v>
      </c>
      <c r="E7">
        <v>30</v>
      </c>
      <c r="F7">
        <v>40</v>
      </c>
      <c r="G7" t="s">
        <v>69</v>
      </c>
      <c r="H7" t="s">
        <v>35</v>
      </c>
      <c r="I7" s="24">
        <f>INDEX(Schedule!$9:$9, MATCH(tblWeeklyData[[#This Row],[WeekDay]], tblSchedule[#Headers],0))</f>
        <v>46116</v>
      </c>
      <c r="J7" t="str">
        <f>IF(WEEKDAY(tblWeeklyData[[#This Row],[Date]], 2)&gt;=6, "YES", "NO")</f>
        <v>YES</v>
      </c>
      <c r="K7" t="str">
        <f>IF(NOT(ISERROR(MATCH(tblWeeklyData[[#This Row],[Date]], tblPublicHoliday[HOLIDAY], 0))), "YES", "NO")</f>
        <v>NO</v>
      </c>
      <c r="L7" t="str">
        <f>IF(OR(tblWeeklyData[[#This Row],[IsWeekend]]="YES", tblWeeklyData[[#This Row],[IsHoliday]]="YES"), "YES", "NO")</f>
        <v>YES</v>
      </c>
      <c r="M7">
        <f>INDEX(tblRefShift[Hour], MATCH(_xlfn.CONCAT(tblWeeklyData[[#This Row],[Role]],"_", tblWeeklyData[[#This Row],[ShiftCode]]), tblRefShift[ShiftID], 0))</f>
        <v>7</v>
      </c>
      <c r="N7">
        <f>IF(tblWeeklyData[[#This Row],[IsHoliday]]="YES", holiday_rate_multiplier, IF(WEEKDAY(tblWeeklyData[[#This Row],[Date]], 2)=6, sat_rate_multiplier, IF(WEEKDAY(tblWeeklyData[[#This Row],[Date]], 2)=7, sun_rate_multiplier, 1))) * tblWeeklyData[[#This Row],[HourlyRate]]*tblWeeklyData[[#This Row],[WorkingHour]]</f>
        <v>315</v>
      </c>
      <c r="O7">
        <f>tblWeeklyData[[#This Row],[MaxHour]]/7</f>
        <v>5.7142857142857144</v>
      </c>
      <c r="P7">
        <f>IF(AND(tblWeeklyData[[#This Row],[HolidayOrWeekend]]="YES", tblWeeklyData[[#This Row],[WorkingHour]]&gt;0), 1, 0)</f>
        <v>1</v>
      </c>
    </row>
    <row r="8" spans="1:16" x14ac:dyDescent="0.45">
      <c r="A8" t="s">
        <v>48</v>
      </c>
      <c r="B8" t="s">
        <v>30</v>
      </c>
      <c r="C8" t="s">
        <v>28</v>
      </c>
      <c r="D8" t="s">
        <v>49</v>
      </c>
      <c r="E8">
        <v>30</v>
      </c>
      <c r="F8">
        <v>40</v>
      </c>
      <c r="G8" t="s">
        <v>70</v>
      </c>
      <c r="H8" t="s">
        <v>41</v>
      </c>
      <c r="I8" s="24">
        <f>INDEX(Schedule!$9:$9, MATCH(tblWeeklyData[[#This Row],[WeekDay]], tblSchedule[#Headers],0))</f>
        <v>46117</v>
      </c>
      <c r="J8" t="str">
        <f>IF(WEEKDAY(tblWeeklyData[[#This Row],[Date]], 2)&gt;=6, "YES", "NO")</f>
        <v>YES</v>
      </c>
      <c r="K8" t="str">
        <f>IF(NOT(ISERROR(MATCH(tblWeeklyData[[#This Row],[Date]], tblPublicHoliday[HOLIDAY], 0))), "YES", "NO")</f>
        <v>NO</v>
      </c>
      <c r="L8" t="str">
        <f>IF(OR(tblWeeklyData[[#This Row],[IsWeekend]]="YES", tblWeeklyData[[#This Row],[IsHoliday]]="YES"), "YES", "NO")</f>
        <v>YES</v>
      </c>
      <c r="M8">
        <f>INDEX(tblRefShift[Hour], MATCH(_xlfn.CONCAT(tblWeeklyData[[#This Row],[Role]],"_", tblWeeklyData[[#This Row],[ShiftCode]]), tblRefShift[ShiftID], 0))</f>
        <v>0</v>
      </c>
      <c r="N8">
        <f>IF(tblWeeklyData[[#This Row],[IsHoliday]]="YES", holiday_rate_multiplier, IF(WEEKDAY(tblWeeklyData[[#This Row],[Date]], 2)=6, sat_rate_multiplier, IF(WEEKDAY(tblWeeklyData[[#This Row],[Date]], 2)=7, sun_rate_multiplier, 1))) * tblWeeklyData[[#This Row],[HourlyRate]]*tblWeeklyData[[#This Row],[WorkingHour]]</f>
        <v>0</v>
      </c>
      <c r="O8">
        <f>tblWeeklyData[[#This Row],[MaxHour]]/7</f>
        <v>5.7142857142857144</v>
      </c>
      <c r="P8">
        <f>IF(AND(tblWeeklyData[[#This Row],[HolidayOrWeekend]]="YES", tblWeeklyData[[#This Row],[WorkingHour]]&gt;0), 1, 0)</f>
        <v>0</v>
      </c>
    </row>
    <row r="9" spans="1:16" x14ac:dyDescent="0.45">
      <c r="A9" t="s">
        <v>50</v>
      </c>
      <c r="B9" t="s">
        <v>27</v>
      </c>
      <c r="C9" t="s">
        <v>28</v>
      </c>
      <c r="D9" t="s">
        <v>49</v>
      </c>
      <c r="E9">
        <v>25</v>
      </c>
      <c r="F9">
        <v>40</v>
      </c>
      <c r="G9" t="s">
        <v>64</v>
      </c>
      <c r="H9" t="s">
        <v>37</v>
      </c>
      <c r="I9" s="24">
        <f>INDEX(Schedule!$9:$9, MATCH(tblWeeklyData[[#This Row],[WeekDay]], tblSchedule[#Headers],0))</f>
        <v>46111</v>
      </c>
      <c r="J9" t="str">
        <f>IF(WEEKDAY(tblWeeklyData[[#This Row],[Date]], 2)&gt;=6, "YES", "NO")</f>
        <v>NO</v>
      </c>
      <c r="K9" t="str">
        <f>IF(NOT(ISERROR(MATCH(tblWeeklyData[[#This Row],[Date]], tblPublicHoliday[HOLIDAY], 0))), "YES", "NO")</f>
        <v>NO</v>
      </c>
      <c r="L9" t="str">
        <f>IF(OR(tblWeeklyData[[#This Row],[IsWeekend]]="YES", tblWeeklyData[[#This Row],[IsHoliday]]="YES"), "YES", "NO")</f>
        <v>NO</v>
      </c>
      <c r="M9">
        <f>INDEX(tblRefShift[Hour], MATCH(_xlfn.CONCAT(tblWeeklyData[[#This Row],[Role]],"_", tblWeeklyData[[#This Row],[ShiftCode]]), tblRefShift[ShiftID], 0))</f>
        <v>7</v>
      </c>
      <c r="N9">
        <f>IF(tblWeeklyData[[#This Row],[IsHoliday]]="YES", holiday_rate_multiplier, IF(WEEKDAY(tblWeeklyData[[#This Row],[Date]], 2)=6, sat_rate_multiplier, IF(WEEKDAY(tblWeeklyData[[#This Row],[Date]], 2)=7, sun_rate_multiplier, 1))) * tblWeeklyData[[#This Row],[HourlyRate]]*tblWeeklyData[[#This Row],[WorkingHour]]</f>
        <v>175</v>
      </c>
      <c r="O9">
        <f>tblWeeklyData[[#This Row],[MaxHour]]/7</f>
        <v>5.7142857142857144</v>
      </c>
      <c r="P9">
        <f>IF(AND(tblWeeklyData[[#This Row],[HolidayOrWeekend]]="YES", tblWeeklyData[[#This Row],[WorkingHour]]&gt;0), 1, 0)</f>
        <v>0</v>
      </c>
    </row>
    <row r="10" spans="1:16" x14ac:dyDescent="0.45">
      <c r="A10" t="s">
        <v>50</v>
      </c>
      <c r="B10" t="s">
        <v>27</v>
      </c>
      <c r="C10" t="s">
        <v>28</v>
      </c>
      <c r="D10" t="s">
        <v>49</v>
      </c>
      <c r="E10">
        <v>25</v>
      </c>
      <c r="F10">
        <v>40</v>
      </c>
      <c r="G10" t="s">
        <v>65</v>
      </c>
      <c r="H10" t="s">
        <v>37</v>
      </c>
      <c r="I10" s="24">
        <f>INDEX(Schedule!$9:$9, MATCH(tblWeeklyData[[#This Row],[WeekDay]], tblSchedule[#Headers],0))</f>
        <v>46112</v>
      </c>
      <c r="J10" t="str">
        <f>IF(WEEKDAY(tblWeeklyData[[#This Row],[Date]], 2)&gt;=6, "YES", "NO")</f>
        <v>NO</v>
      </c>
      <c r="K10" t="str">
        <f>IF(NOT(ISERROR(MATCH(tblWeeklyData[[#This Row],[Date]], tblPublicHoliday[HOLIDAY], 0))), "YES", "NO")</f>
        <v>NO</v>
      </c>
      <c r="L10" t="str">
        <f>IF(OR(tblWeeklyData[[#This Row],[IsWeekend]]="YES", tblWeeklyData[[#This Row],[IsHoliday]]="YES"), "YES", "NO")</f>
        <v>NO</v>
      </c>
      <c r="M10">
        <f>INDEX(tblRefShift[Hour], MATCH(_xlfn.CONCAT(tblWeeklyData[[#This Row],[Role]],"_", tblWeeklyData[[#This Row],[ShiftCode]]), tblRefShift[ShiftID], 0))</f>
        <v>7</v>
      </c>
      <c r="N10">
        <f>IF(tblWeeklyData[[#This Row],[IsHoliday]]="YES", holiday_rate_multiplier, IF(WEEKDAY(tblWeeklyData[[#This Row],[Date]], 2)=6, sat_rate_multiplier, IF(WEEKDAY(tblWeeklyData[[#This Row],[Date]], 2)=7, sun_rate_multiplier, 1))) * tblWeeklyData[[#This Row],[HourlyRate]]*tblWeeklyData[[#This Row],[WorkingHour]]</f>
        <v>175</v>
      </c>
      <c r="O10">
        <f>tblWeeklyData[[#This Row],[MaxHour]]/7</f>
        <v>5.7142857142857144</v>
      </c>
      <c r="P10">
        <f>IF(AND(tblWeeklyData[[#This Row],[HolidayOrWeekend]]="YES", tblWeeklyData[[#This Row],[WorkingHour]]&gt;0), 1, 0)</f>
        <v>0</v>
      </c>
    </row>
    <row r="11" spans="1:16" x14ac:dyDescent="0.45">
      <c r="A11" t="s">
        <v>50</v>
      </c>
      <c r="B11" t="s">
        <v>27</v>
      </c>
      <c r="C11" t="s">
        <v>28</v>
      </c>
      <c r="D11" t="s">
        <v>49</v>
      </c>
      <c r="E11">
        <v>25</v>
      </c>
      <c r="F11">
        <v>40</v>
      </c>
      <c r="G11" t="s">
        <v>66</v>
      </c>
      <c r="H11" t="s">
        <v>41</v>
      </c>
      <c r="I11" s="24">
        <f>INDEX(Schedule!$9:$9, MATCH(tblWeeklyData[[#This Row],[WeekDay]], tblSchedule[#Headers],0))</f>
        <v>46113</v>
      </c>
      <c r="J11" t="str">
        <f>IF(WEEKDAY(tblWeeklyData[[#This Row],[Date]], 2)&gt;=6, "YES", "NO")</f>
        <v>NO</v>
      </c>
      <c r="K11" t="str">
        <f>IF(NOT(ISERROR(MATCH(tblWeeklyData[[#This Row],[Date]], tblPublicHoliday[HOLIDAY], 0))), "YES", "NO")</f>
        <v>NO</v>
      </c>
      <c r="L11" t="str">
        <f>IF(OR(tblWeeklyData[[#This Row],[IsWeekend]]="YES", tblWeeklyData[[#This Row],[IsHoliday]]="YES"), "YES", "NO")</f>
        <v>NO</v>
      </c>
      <c r="M11">
        <f>INDEX(tblRefShift[Hour], MATCH(_xlfn.CONCAT(tblWeeklyData[[#This Row],[Role]],"_", tblWeeklyData[[#This Row],[ShiftCode]]), tblRefShift[ShiftID], 0))</f>
        <v>0</v>
      </c>
      <c r="N11">
        <f>IF(tblWeeklyData[[#This Row],[IsHoliday]]="YES", holiday_rate_multiplier, IF(WEEKDAY(tblWeeklyData[[#This Row],[Date]], 2)=6, sat_rate_multiplier, IF(WEEKDAY(tblWeeklyData[[#This Row],[Date]], 2)=7, sun_rate_multiplier, 1))) * tblWeeklyData[[#This Row],[HourlyRate]]*tblWeeklyData[[#This Row],[WorkingHour]]</f>
        <v>0</v>
      </c>
      <c r="O11">
        <f>tblWeeklyData[[#This Row],[MaxHour]]/7</f>
        <v>5.7142857142857144</v>
      </c>
      <c r="P11">
        <f>IF(AND(tblWeeklyData[[#This Row],[HolidayOrWeekend]]="YES", tblWeeklyData[[#This Row],[WorkingHour]]&gt;0), 1, 0)</f>
        <v>0</v>
      </c>
    </row>
    <row r="12" spans="1:16" x14ac:dyDescent="0.45">
      <c r="A12" t="s">
        <v>50</v>
      </c>
      <c r="B12" t="s">
        <v>27</v>
      </c>
      <c r="C12" t="s">
        <v>28</v>
      </c>
      <c r="D12" t="s">
        <v>49</v>
      </c>
      <c r="E12">
        <v>25</v>
      </c>
      <c r="F12">
        <v>40</v>
      </c>
      <c r="G12" t="s">
        <v>67</v>
      </c>
      <c r="H12" t="s">
        <v>37</v>
      </c>
      <c r="I12" s="24">
        <f>INDEX(Schedule!$9:$9, MATCH(tblWeeklyData[[#This Row],[WeekDay]], tblSchedule[#Headers],0))</f>
        <v>46114</v>
      </c>
      <c r="J12" t="str">
        <f>IF(WEEKDAY(tblWeeklyData[[#This Row],[Date]], 2)&gt;=6, "YES", "NO")</f>
        <v>NO</v>
      </c>
      <c r="K12" t="str">
        <f>IF(NOT(ISERROR(MATCH(tblWeeklyData[[#This Row],[Date]], tblPublicHoliday[HOLIDAY], 0))), "YES", "NO")</f>
        <v>NO</v>
      </c>
      <c r="L12" t="str">
        <f>IF(OR(tblWeeklyData[[#This Row],[IsWeekend]]="YES", tblWeeklyData[[#This Row],[IsHoliday]]="YES"), "YES", "NO")</f>
        <v>NO</v>
      </c>
      <c r="M12">
        <f>INDEX(tblRefShift[Hour], MATCH(_xlfn.CONCAT(tblWeeklyData[[#This Row],[Role]],"_", tblWeeklyData[[#This Row],[ShiftCode]]), tblRefShift[ShiftID], 0))</f>
        <v>7</v>
      </c>
      <c r="N12">
        <f>IF(tblWeeklyData[[#This Row],[IsHoliday]]="YES", holiday_rate_multiplier, IF(WEEKDAY(tblWeeklyData[[#This Row],[Date]], 2)=6, sat_rate_multiplier, IF(WEEKDAY(tblWeeklyData[[#This Row],[Date]], 2)=7, sun_rate_multiplier, 1))) * tblWeeklyData[[#This Row],[HourlyRate]]*tblWeeklyData[[#This Row],[WorkingHour]]</f>
        <v>175</v>
      </c>
      <c r="O12">
        <f>tblWeeklyData[[#This Row],[MaxHour]]/7</f>
        <v>5.7142857142857144</v>
      </c>
      <c r="P12">
        <f>IF(AND(tblWeeklyData[[#This Row],[HolidayOrWeekend]]="YES", tblWeeklyData[[#This Row],[WorkingHour]]&gt;0), 1, 0)</f>
        <v>0</v>
      </c>
    </row>
    <row r="13" spans="1:16" x14ac:dyDescent="0.45">
      <c r="A13" t="s">
        <v>50</v>
      </c>
      <c r="B13" t="s">
        <v>27</v>
      </c>
      <c r="C13" t="s">
        <v>28</v>
      </c>
      <c r="D13" t="s">
        <v>49</v>
      </c>
      <c r="E13">
        <v>25</v>
      </c>
      <c r="F13">
        <v>40</v>
      </c>
      <c r="G13" t="s">
        <v>68</v>
      </c>
      <c r="H13" t="s">
        <v>37</v>
      </c>
      <c r="I13" s="24">
        <f>INDEX(Schedule!$9:$9, MATCH(tblWeeklyData[[#This Row],[WeekDay]], tblSchedule[#Headers],0))</f>
        <v>46115</v>
      </c>
      <c r="J13" t="str">
        <f>IF(WEEKDAY(tblWeeklyData[[#This Row],[Date]], 2)&gt;=6, "YES", "NO")</f>
        <v>NO</v>
      </c>
      <c r="K13" t="str">
        <f>IF(NOT(ISERROR(MATCH(tblWeeklyData[[#This Row],[Date]], tblPublicHoliday[HOLIDAY], 0))), "YES", "NO")</f>
        <v>NO</v>
      </c>
      <c r="L13" t="str">
        <f>IF(OR(tblWeeklyData[[#This Row],[IsWeekend]]="YES", tblWeeklyData[[#This Row],[IsHoliday]]="YES"), "YES", "NO")</f>
        <v>NO</v>
      </c>
      <c r="M13">
        <f>INDEX(tblRefShift[Hour], MATCH(_xlfn.CONCAT(tblWeeklyData[[#This Row],[Role]],"_", tblWeeklyData[[#This Row],[ShiftCode]]), tblRefShift[ShiftID], 0))</f>
        <v>7</v>
      </c>
      <c r="N13">
        <f>IF(tblWeeklyData[[#This Row],[IsHoliday]]="YES", holiday_rate_multiplier, IF(WEEKDAY(tblWeeklyData[[#This Row],[Date]], 2)=6, sat_rate_multiplier, IF(WEEKDAY(tblWeeklyData[[#This Row],[Date]], 2)=7, sun_rate_multiplier, 1))) * tblWeeklyData[[#This Row],[HourlyRate]]*tblWeeklyData[[#This Row],[WorkingHour]]</f>
        <v>175</v>
      </c>
      <c r="O13">
        <f>tblWeeklyData[[#This Row],[MaxHour]]/7</f>
        <v>5.7142857142857144</v>
      </c>
      <c r="P13">
        <f>IF(AND(tblWeeklyData[[#This Row],[HolidayOrWeekend]]="YES", tblWeeklyData[[#This Row],[WorkingHour]]&gt;0), 1, 0)</f>
        <v>0</v>
      </c>
    </row>
    <row r="14" spans="1:16" x14ac:dyDescent="0.45">
      <c r="A14" t="s">
        <v>50</v>
      </c>
      <c r="B14" t="s">
        <v>27</v>
      </c>
      <c r="C14" t="s">
        <v>28</v>
      </c>
      <c r="D14" t="s">
        <v>49</v>
      </c>
      <c r="E14">
        <v>25</v>
      </c>
      <c r="F14">
        <v>40</v>
      </c>
      <c r="G14" t="s">
        <v>69</v>
      </c>
      <c r="H14" t="s">
        <v>40</v>
      </c>
      <c r="I14" s="24">
        <f>INDEX(Schedule!$9:$9, MATCH(tblWeeklyData[[#This Row],[WeekDay]], tblSchedule[#Headers],0))</f>
        <v>46116</v>
      </c>
      <c r="J14" t="str">
        <f>IF(WEEKDAY(tblWeeklyData[[#This Row],[Date]], 2)&gt;=6, "YES", "NO")</f>
        <v>YES</v>
      </c>
      <c r="K14" t="str">
        <f>IF(NOT(ISERROR(MATCH(tblWeeklyData[[#This Row],[Date]], tblPublicHoliday[HOLIDAY], 0))), "YES", "NO")</f>
        <v>NO</v>
      </c>
      <c r="L14" t="str">
        <f>IF(OR(tblWeeklyData[[#This Row],[IsWeekend]]="YES", tblWeeklyData[[#This Row],[IsHoliday]]="YES"), "YES", "NO")</f>
        <v>YES</v>
      </c>
      <c r="M14">
        <f>INDEX(tblRefShift[Hour], MATCH(_xlfn.CONCAT(tblWeeklyData[[#This Row],[Role]],"_", tblWeeklyData[[#This Row],[ShiftCode]]), tblRefShift[ShiftID], 0))</f>
        <v>5</v>
      </c>
      <c r="N14">
        <f>IF(tblWeeklyData[[#This Row],[IsHoliday]]="YES", holiday_rate_multiplier, IF(WEEKDAY(tblWeeklyData[[#This Row],[Date]], 2)=6, sat_rate_multiplier, IF(WEEKDAY(tblWeeklyData[[#This Row],[Date]], 2)=7, sun_rate_multiplier, 1))) * tblWeeklyData[[#This Row],[HourlyRate]]*tblWeeklyData[[#This Row],[WorkingHour]]</f>
        <v>187.5</v>
      </c>
      <c r="O14">
        <f>tblWeeklyData[[#This Row],[MaxHour]]/7</f>
        <v>5.7142857142857144</v>
      </c>
      <c r="P14">
        <f>IF(AND(tblWeeklyData[[#This Row],[HolidayOrWeekend]]="YES", tblWeeklyData[[#This Row],[WorkingHour]]&gt;0), 1, 0)</f>
        <v>1</v>
      </c>
    </row>
    <row r="15" spans="1:16" x14ac:dyDescent="0.45">
      <c r="A15" t="s">
        <v>50</v>
      </c>
      <c r="B15" t="s">
        <v>27</v>
      </c>
      <c r="C15" t="s">
        <v>28</v>
      </c>
      <c r="D15" t="s">
        <v>49</v>
      </c>
      <c r="E15">
        <v>25</v>
      </c>
      <c r="F15">
        <v>40</v>
      </c>
      <c r="G15" t="s">
        <v>70</v>
      </c>
      <c r="H15" t="s">
        <v>37</v>
      </c>
      <c r="I15" s="24">
        <f>INDEX(Schedule!$9:$9, MATCH(tblWeeklyData[[#This Row],[WeekDay]], tblSchedule[#Headers],0))</f>
        <v>46117</v>
      </c>
      <c r="J15" t="str">
        <f>IF(WEEKDAY(tblWeeklyData[[#This Row],[Date]], 2)&gt;=6, "YES", "NO")</f>
        <v>YES</v>
      </c>
      <c r="K15" t="str">
        <f>IF(NOT(ISERROR(MATCH(tblWeeklyData[[#This Row],[Date]], tblPublicHoliday[HOLIDAY], 0))), "YES", "NO")</f>
        <v>NO</v>
      </c>
      <c r="L15" t="str">
        <f>IF(OR(tblWeeklyData[[#This Row],[IsWeekend]]="YES", tblWeeklyData[[#This Row],[IsHoliday]]="YES"), "YES", "NO")</f>
        <v>YES</v>
      </c>
      <c r="M15">
        <f>INDEX(tblRefShift[Hour], MATCH(_xlfn.CONCAT(tblWeeklyData[[#This Row],[Role]],"_", tblWeeklyData[[#This Row],[ShiftCode]]), tblRefShift[ShiftID], 0))</f>
        <v>7</v>
      </c>
      <c r="N15">
        <f>IF(tblWeeklyData[[#This Row],[IsHoliday]]="YES", holiday_rate_multiplier, IF(WEEKDAY(tblWeeklyData[[#This Row],[Date]], 2)=6, sat_rate_multiplier, IF(WEEKDAY(tblWeeklyData[[#This Row],[Date]], 2)=7, sun_rate_multiplier, 1))) * tblWeeklyData[[#This Row],[HourlyRate]]*tblWeeklyData[[#This Row],[WorkingHour]]</f>
        <v>262.5</v>
      </c>
      <c r="O15">
        <f>tblWeeklyData[[#This Row],[MaxHour]]/7</f>
        <v>5.7142857142857144</v>
      </c>
      <c r="P15">
        <f>IF(AND(tblWeeklyData[[#This Row],[HolidayOrWeekend]]="YES", tblWeeklyData[[#This Row],[WorkingHour]]&gt;0), 1, 0)</f>
        <v>1</v>
      </c>
    </row>
    <row r="16" spans="1:16" x14ac:dyDescent="0.45">
      <c r="A16" t="s">
        <v>51</v>
      </c>
      <c r="B16" t="s">
        <v>27</v>
      </c>
      <c r="C16" t="s">
        <v>28</v>
      </c>
      <c r="D16" t="s">
        <v>49</v>
      </c>
      <c r="E16">
        <v>25</v>
      </c>
      <c r="F16">
        <v>40</v>
      </c>
      <c r="G16" t="s">
        <v>64</v>
      </c>
      <c r="H16" t="s">
        <v>41</v>
      </c>
      <c r="I16" s="24">
        <f>INDEX(Schedule!$9:$9, MATCH(tblWeeklyData[[#This Row],[WeekDay]], tblSchedule[#Headers],0))</f>
        <v>46111</v>
      </c>
      <c r="J16" t="str">
        <f>IF(WEEKDAY(tblWeeklyData[[#This Row],[Date]], 2)&gt;=6, "YES", "NO")</f>
        <v>NO</v>
      </c>
      <c r="K16" t="str">
        <f>IF(NOT(ISERROR(MATCH(tblWeeklyData[[#This Row],[Date]], tblPublicHoliday[HOLIDAY], 0))), "YES", "NO")</f>
        <v>NO</v>
      </c>
      <c r="L16" t="str">
        <f>IF(OR(tblWeeklyData[[#This Row],[IsWeekend]]="YES", tblWeeklyData[[#This Row],[IsHoliday]]="YES"), "YES", "NO")</f>
        <v>NO</v>
      </c>
      <c r="M16">
        <f>INDEX(tblRefShift[Hour], MATCH(_xlfn.CONCAT(tblWeeklyData[[#This Row],[Role]],"_", tblWeeklyData[[#This Row],[ShiftCode]]), tblRefShift[ShiftID], 0))</f>
        <v>0</v>
      </c>
      <c r="N16">
        <f>IF(tblWeeklyData[[#This Row],[IsHoliday]]="YES", holiday_rate_multiplier, IF(WEEKDAY(tblWeeklyData[[#This Row],[Date]], 2)=6, sat_rate_multiplier, IF(WEEKDAY(tblWeeklyData[[#This Row],[Date]], 2)=7, sun_rate_multiplier, 1))) * tblWeeklyData[[#This Row],[HourlyRate]]*tblWeeklyData[[#This Row],[WorkingHour]]</f>
        <v>0</v>
      </c>
      <c r="O16">
        <f>tblWeeklyData[[#This Row],[MaxHour]]/7</f>
        <v>5.7142857142857144</v>
      </c>
      <c r="P16">
        <f>IF(AND(tblWeeklyData[[#This Row],[HolidayOrWeekend]]="YES", tblWeeklyData[[#This Row],[WorkingHour]]&gt;0), 1, 0)</f>
        <v>0</v>
      </c>
    </row>
    <row r="17" spans="1:16" x14ac:dyDescent="0.45">
      <c r="A17" t="s">
        <v>51</v>
      </c>
      <c r="B17" t="s">
        <v>27</v>
      </c>
      <c r="C17" t="s">
        <v>28</v>
      </c>
      <c r="D17" t="s">
        <v>49</v>
      </c>
      <c r="E17">
        <v>25</v>
      </c>
      <c r="F17">
        <v>40</v>
      </c>
      <c r="G17" t="s">
        <v>65</v>
      </c>
      <c r="H17" t="s">
        <v>41</v>
      </c>
      <c r="I17" s="24">
        <f>INDEX(Schedule!$9:$9, MATCH(tblWeeklyData[[#This Row],[WeekDay]], tblSchedule[#Headers],0))</f>
        <v>46112</v>
      </c>
      <c r="J17" t="str">
        <f>IF(WEEKDAY(tblWeeklyData[[#This Row],[Date]], 2)&gt;=6, "YES", "NO")</f>
        <v>NO</v>
      </c>
      <c r="K17" t="str">
        <f>IF(NOT(ISERROR(MATCH(tblWeeklyData[[#This Row],[Date]], tblPublicHoliday[HOLIDAY], 0))), "YES", "NO")</f>
        <v>NO</v>
      </c>
      <c r="L17" t="str">
        <f>IF(OR(tblWeeklyData[[#This Row],[IsWeekend]]="YES", tblWeeklyData[[#This Row],[IsHoliday]]="YES"), "YES", "NO")</f>
        <v>NO</v>
      </c>
      <c r="M17">
        <f>INDEX(tblRefShift[Hour], MATCH(_xlfn.CONCAT(tblWeeklyData[[#This Row],[Role]],"_", tblWeeklyData[[#This Row],[ShiftCode]]), tblRefShift[ShiftID], 0))</f>
        <v>0</v>
      </c>
      <c r="N17">
        <f>IF(tblWeeklyData[[#This Row],[IsHoliday]]="YES", holiday_rate_multiplier, IF(WEEKDAY(tblWeeklyData[[#This Row],[Date]], 2)=6, sat_rate_multiplier, IF(WEEKDAY(tblWeeklyData[[#This Row],[Date]], 2)=7, sun_rate_multiplier, 1))) * tblWeeklyData[[#This Row],[HourlyRate]]*tblWeeklyData[[#This Row],[WorkingHour]]</f>
        <v>0</v>
      </c>
      <c r="O17">
        <f>tblWeeklyData[[#This Row],[MaxHour]]/7</f>
        <v>5.7142857142857144</v>
      </c>
      <c r="P17">
        <f>IF(AND(tblWeeklyData[[#This Row],[HolidayOrWeekend]]="YES", tblWeeklyData[[#This Row],[WorkingHour]]&gt;0), 1, 0)</f>
        <v>0</v>
      </c>
    </row>
    <row r="18" spans="1:16" x14ac:dyDescent="0.45">
      <c r="A18" t="s">
        <v>51</v>
      </c>
      <c r="B18" t="s">
        <v>27</v>
      </c>
      <c r="C18" t="s">
        <v>28</v>
      </c>
      <c r="D18" t="s">
        <v>49</v>
      </c>
      <c r="E18">
        <v>25</v>
      </c>
      <c r="F18">
        <v>40</v>
      </c>
      <c r="G18" t="s">
        <v>66</v>
      </c>
      <c r="H18" t="s">
        <v>35</v>
      </c>
      <c r="I18" s="24">
        <f>INDEX(Schedule!$9:$9, MATCH(tblWeeklyData[[#This Row],[WeekDay]], tblSchedule[#Headers],0))</f>
        <v>46113</v>
      </c>
      <c r="J18" t="str">
        <f>IF(WEEKDAY(tblWeeklyData[[#This Row],[Date]], 2)&gt;=6, "YES", "NO")</f>
        <v>NO</v>
      </c>
      <c r="K18" t="str">
        <f>IF(NOT(ISERROR(MATCH(tblWeeklyData[[#This Row],[Date]], tblPublicHoliday[HOLIDAY], 0))), "YES", "NO")</f>
        <v>NO</v>
      </c>
      <c r="L18" t="str">
        <f>IF(OR(tblWeeklyData[[#This Row],[IsWeekend]]="YES", tblWeeklyData[[#This Row],[IsHoliday]]="YES"), "YES", "NO")</f>
        <v>NO</v>
      </c>
      <c r="M18">
        <f>INDEX(tblRefShift[Hour], MATCH(_xlfn.CONCAT(tblWeeklyData[[#This Row],[Role]],"_", tblWeeklyData[[#This Row],[ShiftCode]]), tblRefShift[ShiftID], 0))</f>
        <v>7</v>
      </c>
      <c r="N18">
        <f>IF(tblWeeklyData[[#This Row],[IsHoliday]]="YES", holiday_rate_multiplier, IF(WEEKDAY(tblWeeklyData[[#This Row],[Date]], 2)=6, sat_rate_multiplier, IF(WEEKDAY(tblWeeklyData[[#This Row],[Date]], 2)=7, sun_rate_multiplier, 1))) * tblWeeklyData[[#This Row],[HourlyRate]]*tblWeeklyData[[#This Row],[WorkingHour]]</f>
        <v>175</v>
      </c>
      <c r="O18">
        <f>tblWeeklyData[[#This Row],[MaxHour]]/7</f>
        <v>5.7142857142857144</v>
      </c>
      <c r="P18">
        <f>IF(AND(tblWeeklyData[[#This Row],[HolidayOrWeekend]]="YES", tblWeeklyData[[#This Row],[WorkingHour]]&gt;0), 1, 0)</f>
        <v>0</v>
      </c>
    </row>
    <row r="19" spans="1:16" x14ac:dyDescent="0.45">
      <c r="A19" t="s">
        <v>51</v>
      </c>
      <c r="B19" t="s">
        <v>27</v>
      </c>
      <c r="C19" t="s">
        <v>28</v>
      </c>
      <c r="D19" t="s">
        <v>49</v>
      </c>
      <c r="E19">
        <v>25</v>
      </c>
      <c r="F19">
        <v>40</v>
      </c>
      <c r="G19" t="s">
        <v>67</v>
      </c>
      <c r="H19" t="s">
        <v>35</v>
      </c>
      <c r="I19" s="24">
        <f>INDEX(Schedule!$9:$9, MATCH(tblWeeklyData[[#This Row],[WeekDay]], tblSchedule[#Headers],0))</f>
        <v>46114</v>
      </c>
      <c r="J19" t="str">
        <f>IF(WEEKDAY(tblWeeklyData[[#This Row],[Date]], 2)&gt;=6, "YES", "NO")</f>
        <v>NO</v>
      </c>
      <c r="K19" t="str">
        <f>IF(NOT(ISERROR(MATCH(tblWeeklyData[[#This Row],[Date]], tblPublicHoliday[HOLIDAY], 0))), "YES", "NO")</f>
        <v>NO</v>
      </c>
      <c r="L19" t="str">
        <f>IF(OR(tblWeeklyData[[#This Row],[IsWeekend]]="YES", tblWeeklyData[[#This Row],[IsHoliday]]="YES"), "YES", "NO")</f>
        <v>NO</v>
      </c>
      <c r="M19">
        <f>INDEX(tblRefShift[Hour], MATCH(_xlfn.CONCAT(tblWeeklyData[[#This Row],[Role]],"_", tblWeeklyData[[#This Row],[ShiftCode]]), tblRefShift[ShiftID], 0))</f>
        <v>7</v>
      </c>
      <c r="N19">
        <f>IF(tblWeeklyData[[#This Row],[IsHoliday]]="YES", holiday_rate_multiplier, IF(WEEKDAY(tblWeeklyData[[#This Row],[Date]], 2)=6, sat_rate_multiplier, IF(WEEKDAY(tblWeeklyData[[#This Row],[Date]], 2)=7, sun_rate_multiplier, 1))) * tblWeeklyData[[#This Row],[HourlyRate]]*tblWeeklyData[[#This Row],[WorkingHour]]</f>
        <v>175</v>
      </c>
      <c r="O19">
        <f>tblWeeklyData[[#This Row],[MaxHour]]/7</f>
        <v>5.7142857142857144</v>
      </c>
      <c r="P19">
        <f>IF(AND(tblWeeklyData[[#This Row],[HolidayOrWeekend]]="YES", tblWeeklyData[[#This Row],[WorkingHour]]&gt;0), 1, 0)</f>
        <v>0</v>
      </c>
    </row>
    <row r="20" spans="1:16" x14ac:dyDescent="0.45">
      <c r="A20" t="s">
        <v>51</v>
      </c>
      <c r="B20" t="s">
        <v>27</v>
      </c>
      <c r="C20" t="s">
        <v>28</v>
      </c>
      <c r="D20" t="s">
        <v>49</v>
      </c>
      <c r="E20">
        <v>25</v>
      </c>
      <c r="F20">
        <v>40</v>
      </c>
      <c r="G20" t="s">
        <v>68</v>
      </c>
      <c r="H20" t="s">
        <v>35</v>
      </c>
      <c r="I20" s="24">
        <f>INDEX(Schedule!$9:$9, MATCH(tblWeeklyData[[#This Row],[WeekDay]], tblSchedule[#Headers],0))</f>
        <v>46115</v>
      </c>
      <c r="J20" t="str">
        <f>IF(WEEKDAY(tblWeeklyData[[#This Row],[Date]], 2)&gt;=6, "YES", "NO")</f>
        <v>NO</v>
      </c>
      <c r="K20" t="str">
        <f>IF(NOT(ISERROR(MATCH(tblWeeklyData[[#This Row],[Date]], tblPublicHoliday[HOLIDAY], 0))), "YES", "NO")</f>
        <v>NO</v>
      </c>
      <c r="L20" t="str">
        <f>IF(OR(tblWeeklyData[[#This Row],[IsWeekend]]="YES", tblWeeklyData[[#This Row],[IsHoliday]]="YES"), "YES", "NO")</f>
        <v>NO</v>
      </c>
      <c r="M20">
        <f>INDEX(tblRefShift[Hour], MATCH(_xlfn.CONCAT(tblWeeklyData[[#This Row],[Role]],"_", tblWeeklyData[[#This Row],[ShiftCode]]), tblRefShift[ShiftID], 0))</f>
        <v>7</v>
      </c>
      <c r="N20">
        <f>IF(tblWeeklyData[[#This Row],[IsHoliday]]="YES", holiday_rate_multiplier, IF(WEEKDAY(tblWeeklyData[[#This Row],[Date]], 2)=6, sat_rate_multiplier, IF(WEEKDAY(tblWeeklyData[[#This Row],[Date]], 2)=7, sun_rate_multiplier, 1))) * tblWeeklyData[[#This Row],[HourlyRate]]*tblWeeklyData[[#This Row],[WorkingHour]]</f>
        <v>175</v>
      </c>
      <c r="O20">
        <f>tblWeeklyData[[#This Row],[MaxHour]]/7</f>
        <v>5.7142857142857144</v>
      </c>
      <c r="P20">
        <f>IF(AND(tblWeeklyData[[#This Row],[HolidayOrWeekend]]="YES", tblWeeklyData[[#This Row],[WorkingHour]]&gt;0), 1, 0)</f>
        <v>0</v>
      </c>
    </row>
    <row r="21" spans="1:16" x14ac:dyDescent="0.45">
      <c r="A21" t="s">
        <v>51</v>
      </c>
      <c r="B21" t="s">
        <v>27</v>
      </c>
      <c r="C21" t="s">
        <v>28</v>
      </c>
      <c r="D21" t="s">
        <v>49</v>
      </c>
      <c r="E21">
        <v>25</v>
      </c>
      <c r="F21">
        <v>40</v>
      </c>
      <c r="G21" t="s">
        <v>69</v>
      </c>
      <c r="H21" t="s">
        <v>41</v>
      </c>
      <c r="I21" s="24">
        <f>INDEX(Schedule!$9:$9, MATCH(tblWeeklyData[[#This Row],[WeekDay]], tblSchedule[#Headers],0))</f>
        <v>46116</v>
      </c>
      <c r="J21" t="str">
        <f>IF(WEEKDAY(tblWeeklyData[[#This Row],[Date]], 2)&gt;=6, "YES", "NO")</f>
        <v>YES</v>
      </c>
      <c r="K21" t="str">
        <f>IF(NOT(ISERROR(MATCH(tblWeeklyData[[#This Row],[Date]], tblPublicHoliday[HOLIDAY], 0))), "YES", "NO")</f>
        <v>NO</v>
      </c>
      <c r="L21" t="str">
        <f>IF(OR(tblWeeklyData[[#This Row],[IsWeekend]]="YES", tblWeeklyData[[#This Row],[IsHoliday]]="YES"), "YES", "NO")</f>
        <v>YES</v>
      </c>
      <c r="M21">
        <f>INDEX(tblRefShift[Hour], MATCH(_xlfn.CONCAT(tblWeeklyData[[#This Row],[Role]],"_", tblWeeklyData[[#This Row],[ShiftCode]]), tblRefShift[ShiftID], 0))</f>
        <v>0</v>
      </c>
      <c r="N21">
        <f>IF(tblWeeklyData[[#This Row],[IsHoliday]]="YES", holiday_rate_multiplier, IF(WEEKDAY(tblWeeklyData[[#This Row],[Date]], 2)=6, sat_rate_multiplier, IF(WEEKDAY(tblWeeklyData[[#This Row],[Date]], 2)=7, sun_rate_multiplier, 1))) * tblWeeklyData[[#This Row],[HourlyRate]]*tblWeeklyData[[#This Row],[WorkingHour]]</f>
        <v>0</v>
      </c>
      <c r="O21">
        <f>tblWeeklyData[[#This Row],[MaxHour]]/7</f>
        <v>5.7142857142857144</v>
      </c>
      <c r="P21">
        <f>IF(AND(tblWeeklyData[[#This Row],[HolidayOrWeekend]]="YES", tblWeeklyData[[#This Row],[WorkingHour]]&gt;0), 1, 0)</f>
        <v>0</v>
      </c>
    </row>
    <row r="22" spans="1:16" x14ac:dyDescent="0.45">
      <c r="A22" t="s">
        <v>51</v>
      </c>
      <c r="B22" t="s">
        <v>27</v>
      </c>
      <c r="C22" t="s">
        <v>28</v>
      </c>
      <c r="D22" t="s">
        <v>49</v>
      </c>
      <c r="E22">
        <v>25</v>
      </c>
      <c r="F22">
        <v>40</v>
      </c>
      <c r="G22" t="s">
        <v>70</v>
      </c>
      <c r="H22" t="s">
        <v>35</v>
      </c>
      <c r="I22" s="24">
        <f>INDEX(Schedule!$9:$9, MATCH(tblWeeklyData[[#This Row],[WeekDay]], tblSchedule[#Headers],0))</f>
        <v>46117</v>
      </c>
      <c r="J22" t="str">
        <f>IF(WEEKDAY(tblWeeklyData[[#This Row],[Date]], 2)&gt;=6, "YES", "NO")</f>
        <v>YES</v>
      </c>
      <c r="K22" t="str">
        <f>IF(NOT(ISERROR(MATCH(tblWeeklyData[[#This Row],[Date]], tblPublicHoliday[HOLIDAY], 0))), "YES", "NO")</f>
        <v>NO</v>
      </c>
      <c r="L22" t="str">
        <f>IF(OR(tblWeeklyData[[#This Row],[IsWeekend]]="YES", tblWeeklyData[[#This Row],[IsHoliday]]="YES"), "YES", "NO")</f>
        <v>YES</v>
      </c>
      <c r="M22">
        <f>INDEX(tblRefShift[Hour], MATCH(_xlfn.CONCAT(tblWeeklyData[[#This Row],[Role]],"_", tblWeeklyData[[#This Row],[ShiftCode]]), tblRefShift[ShiftID], 0))</f>
        <v>7</v>
      </c>
      <c r="N22">
        <f>IF(tblWeeklyData[[#This Row],[IsHoliday]]="YES", holiday_rate_multiplier, IF(WEEKDAY(tblWeeklyData[[#This Row],[Date]], 2)=6, sat_rate_multiplier, IF(WEEKDAY(tblWeeklyData[[#This Row],[Date]], 2)=7, sun_rate_multiplier, 1))) * tblWeeklyData[[#This Row],[HourlyRate]]*tblWeeklyData[[#This Row],[WorkingHour]]</f>
        <v>262.5</v>
      </c>
      <c r="O22">
        <f>tblWeeklyData[[#This Row],[MaxHour]]/7</f>
        <v>5.7142857142857144</v>
      </c>
      <c r="P22">
        <f>IF(AND(tblWeeklyData[[#This Row],[HolidayOrWeekend]]="YES", tblWeeklyData[[#This Row],[WorkingHour]]&gt;0), 1, 0)</f>
        <v>1</v>
      </c>
    </row>
    <row r="23" spans="1:16" x14ac:dyDescent="0.45">
      <c r="A23" t="s">
        <v>52</v>
      </c>
      <c r="B23" t="s">
        <v>26</v>
      </c>
      <c r="C23" t="s">
        <v>26</v>
      </c>
      <c r="D23" t="s">
        <v>49</v>
      </c>
      <c r="E23">
        <v>35</v>
      </c>
      <c r="F23">
        <v>40</v>
      </c>
      <c r="G23" t="s">
        <v>64</v>
      </c>
      <c r="H23" t="s">
        <v>42</v>
      </c>
      <c r="I23" s="24">
        <f>INDEX(Schedule!$9:$9, MATCH(tblWeeklyData[[#This Row],[WeekDay]], tblSchedule[#Headers],0))</f>
        <v>46111</v>
      </c>
      <c r="J23" t="str">
        <f>IF(WEEKDAY(tblWeeklyData[[#This Row],[Date]], 2)&gt;=6, "YES", "NO")</f>
        <v>NO</v>
      </c>
      <c r="K23" t="str">
        <f>IF(NOT(ISERROR(MATCH(tblWeeklyData[[#This Row],[Date]], tblPublicHoliday[HOLIDAY], 0))), "YES", "NO")</f>
        <v>NO</v>
      </c>
      <c r="L23" t="str">
        <f>IF(OR(tblWeeklyData[[#This Row],[IsWeekend]]="YES", tblWeeklyData[[#This Row],[IsHoliday]]="YES"), "YES", "NO")</f>
        <v>NO</v>
      </c>
      <c r="M23">
        <f>INDEX(tblRefShift[Hour], MATCH(_xlfn.CONCAT(tblWeeklyData[[#This Row],[Role]],"_", tblWeeklyData[[#This Row],[ShiftCode]]), tblRefShift[ShiftID], 0))</f>
        <v>7.9999999999999982</v>
      </c>
      <c r="N23">
        <f>IF(tblWeeklyData[[#This Row],[IsHoliday]]="YES", holiday_rate_multiplier, IF(WEEKDAY(tblWeeklyData[[#This Row],[Date]], 2)=6, sat_rate_multiplier, IF(WEEKDAY(tblWeeklyData[[#This Row],[Date]], 2)=7, sun_rate_multiplier, 1))) * tblWeeklyData[[#This Row],[HourlyRate]]*tblWeeklyData[[#This Row],[WorkingHour]]</f>
        <v>279.99999999999994</v>
      </c>
      <c r="O23">
        <f>tblWeeklyData[[#This Row],[MaxHour]]/7</f>
        <v>5.7142857142857144</v>
      </c>
      <c r="P23">
        <f>IF(AND(tblWeeklyData[[#This Row],[HolidayOrWeekend]]="YES", tblWeeklyData[[#This Row],[WorkingHour]]&gt;0), 1, 0)</f>
        <v>0</v>
      </c>
    </row>
    <row r="24" spans="1:16" x14ac:dyDescent="0.45">
      <c r="A24" t="s">
        <v>52</v>
      </c>
      <c r="B24" t="s">
        <v>26</v>
      </c>
      <c r="C24" t="s">
        <v>26</v>
      </c>
      <c r="D24" t="s">
        <v>49</v>
      </c>
      <c r="E24">
        <v>35</v>
      </c>
      <c r="F24">
        <v>40</v>
      </c>
      <c r="G24" t="s">
        <v>65</v>
      </c>
      <c r="H24" t="s">
        <v>42</v>
      </c>
      <c r="I24" s="24">
        <f>INDEX(Schedule!$9:$9, MATCH(tblWeeklyData[[#This Row],[WeekDay]], tblSchedule[#Headers],0))</f>
        <v>46112</v>
      </c>
      <c r="J24" t="str">
        <f>IF(WEEKDAY(tblWeeklyData[[#This Row],[Date]], 2)&gt;=6, "YES", "NO")</f>
        <v>NO</v>
      </c>
      <c r="K24" t="str">
        <f>IF(NOT(ISERROR(MATCH(tblWeeklyData[[#This Row],[Date]], tblPublicHoliday[HOLIDAY], 0))), "YES", "NO")</f>
        <v>NO</v>
      </c>
      <c r="L24" t="str">
        <f>IF(OR(tblWeeklyData[[#This Row],[IsWeekend]]="YES", tblWeeklyData[[#This Row],[IsHoliday]]="YES"), "YES", "NO")</f>
        <v>NO</v>
      </c>
      <c r="M24">
        <f>INDEX(tblRefShift[Hour], MATCH(_xlfn.CONCAT(tblWeeklyData[[#This Row],[Role]],"_", tblWeeklyData[[#This Row],[ShiftCode]]), tblRefShift[ShiftID], 0))</f>
        <v>7.9999999999999982</v>
      </c>
      <c r="N24">
        <f>IF(tblWeeklyData[[#This Row],[IsHoliday]]="YES", holiday_rate_multiplier, IF(WEEKDAY(tblWeeklyData[[#This Row],[Date]], 2)=6, sat_rate_multiplier, IF(WEEKDAY(tblWeeklyData[[#This Row],[Date]], 2)=7, sun_rate_multiplier, 1))) * tblWeeklyData[[#This Row],[HourlyRate]]*tblWeeklyData[[#This Row],[WorkingHour]]</f>
        <v>279.99999999999994</v>
      </c>
      <c r="O24">
        <f>tblWeeklyData[[#This Row],[MaxHour]]/7</f>
        <v>5.7142857142857144</v>
      </c>
      <c r="P24">
        <f>IF(AND(tblWeeklyData[[#This Row],[HolidayOrWeekend]]="YES", tblWeeklyData[[#This Row],[WorkingHour]]&gt;0), 1, 0)</f>
        <v>0</v>
      </c>
    </row>
    <row r="25" spans="1:16" x14ac:dyDescent="0.45">
      <c r="A25" t="s">
        <v>52</v>
      </c>
      <c r="B25" t="s">
        <v>26</v>
      </c>
      <c r="C25" t="s">
        <v>26</v>
      </c>
      <c r="D25" t="s">
        <v>49</v>
      </c>
      <c r="E25">
        <v>35</v>
      </c>
      <c r="F25">
        <v>40</v>
      </c>
      <c r="G25" t="s">
        <v>66</v>
      </c>
      <c r="H25" t="s">
        <v>41</v>
      </c>
      <c r="I25" s="24">
        <f>INDEX(Schedule!$9:$9, MATCH(tblWeeklyData[[#This Row],[WeekDay]], tblSchedule[#Headers],0))</f>
        <v>46113</v>
      </c>
      <c r="J25" t="str">
        <f>IF(WEEKDAY(tblWeeklyData[[#This Row],[Date]], 2)&gt;=6, "YES", "NO")</f>
        <v>NO</v>
      </c>
      <c r="K25" t="str">
        <f>IF(NOT(ISERROR(MATCH(tblWeeklyData[[#This Row],[Date]], tblPublicHoliday[HOLIDAY], 0))), "YES", "NO")</f>
        <v>NO</v>
      </c>
      <c r="L25" t="str">
        <f>IF(OR(tblWeeklyData[[#This Row],[IsWeekend]]="YES", tblWeeklyData[[#This Row],[IsHoliday]]="YES"), "YES", "NO")</f>
        <v>NO</v>
      </c>
      <c r="M25">
        <f>INDEX(tblRefShift[Hour], MATCH(_xlfn.CONCAT(tblWeeklyData[[#This Row],[Role]],"_", tblWeeklyData[[#This Row],[ShiftCode]]), tblRefShift[ShiftID], 0))</f>
        <v>0</v>
      </c>
      <c r="N25">
        <f>IF(tblWeeklyData[[#This Row],[IsHoliday]]="YES", holiday_rate_multiplier, IF(WEEKDAY(tblWeeklyData[[#This Row],[Date]], 2)=6, sat_rate_multiplier, IF(WEEKDAY(tblWeeklyData[[#This Row],[Date]], 2)=7, sun_rate_multiplier, 1))) * tblWeeklyData[[#This Row],[HourlyRate]]*tblWeeklyData[[#This Row],[WorkingHour]]</f>
        <v>0</v>
      </c>
      <c r="O25">
        <f>tblWeeklyData[[#This Row],[MaxHour]]/7</f>
        <v>5.7142857142857144</v>
      </c>
      <c r="P25">
        <f>IF(AND(tblWeeklyData[[#This Row],[HolidayOrWeekend]]="YES", tblWeeklyData[[#This Row],[WorkingHour]]&gt;0), 1, 0)</f>
        <v>0</v>
      </c>
    </row>
    <row r="26" spans="1:16" x14ac:dyDescent="0.45">
      <c r="A26" t="s">
        <v>52</v>
      </c>
      <c r="B26" t="s">
        <v>26</v>
      </c>
      <c r="C26" t="s">
        <v>26</v>
      </c>
      <c r="D26" t="s">
        <v>49</v>
      </c>
      <c r="E26">
        <v>35</v>
      </c>
      <c r="F26">
        <v>40</v>
      </c>
      <c r="G26" t="s">
        <v>67</v>
      </c>
      <c r="H26" t="s">
        <v>41</v>
      </c>
      <c r="I26" s="24">
        <f>INDEX(Schedule!$9:$9, MATCH(tblWeeklyData[[#This Row],[WeekDay]], tblSchedule[#Headers],0))</f>
        <v>46114</v>
      </c>
      <c r="J26" t="str">
        <f>IF(WEEKDAY(tblWeeklyData[[#This Row],[Date]], 2)&gt;=6, "YES", "NO")</f>
        <v>NO</v>
      </c>
      <c r="K26" t="str">
        <f>IF(NOT(ISERROR(MATCH(tblWeeklyData[[#This Row],[Date]], tblPublicHoliday[HOLIDAY], 0))), "YES", "NO")</f>
        <v>NO</v>
      </c>
      <c r="L26" t="str">
        <f>IF(OR(tblWeeklyData[[#This Row],[IsWeekend]]="YES", tblWeeklyData[[#This Row],[IsHoliday]]="YES"), "YES", "NO")</f>
        <v>NO</v>
      </c>
      <c r="M26">
        <f>INDEX(tblRefShift[Hour], MATCH(_xlfn.CONCAT(tblWeeklyData[[#This Row],[Role]],"_", tblWeeklyData[[#This Row],[ShiftCode]]), tblRefShift[ShiftID], 0))</f>
        <v>0</v>
      </c>
      <c r="N26">
        <f>IF(tblWeeklyData[[#This Row],[IsHoliday]]="YES", holiday_rate_multiplier, IF(WEEKDAY(tblWeeklyData[[#This Row],[Date]], 2)=6, sat_rate_multiplier, IF(WEEKDAY(tblWeeklyData[[#This Row],[Date]], 2)=7, sun_rate_multiplier, 1))) * tblWeeklyData[[#This Row],[HourlyRate]]*tblWeeklyData[[#This Row],[WorkingHour]]</f>
        <v>0</v>
      </c>
      <c r="O26">
        <f>tblWeeklyData[[#This Row],[MaxHour]]/7</f>
        <v>5.7142857142857144</v>
      </c>
      <c r="P26">
        <f>IF(AND(tblWeeklyData[[#This Row],[HolidayOrWeekend]]="YES", tblWeeklyData[[#This Row],[WorkingHour]]&gt;0), 1, 0)</f>
        <v>0</v>
      </c>
    </row>
    <row r="27" spans="1:16" x14ac:dyDescent="0.45">
      <c r="A27" t="s">
        <v>52</v>
      </c>
      <c r="B27" t="s">
        <v>26</v>
      </c>
      <c r="C27" t="s">
        <v>26</v>
      </c>
      <c r="D27" t="s">
        <v>49</v>
      </c>
      <c r="E27">
        <v>35</v>
      </c>
      <c r="F27">
        <v>40</v>
      </c>
      <c r="G27" t="s">
        <v>68</v>
      </c>
      <c r="H27" t="s">
        <v>41</v>
      </c>
      <c r="I27" s="24">
        <f>INDEX(Schedule!$9:$9, MATCH(tblWeeklyData[[#This Row],[WeekDay]], tblSchedule[#Headers],0))</f>
        <v>46115</v>
      </c>
      <c r="J27" t="str">
        <f>IF(WEEKDAY(tblWeeklyData[[#This Row],[Date]], 2)&gt;=6, "YES", "NO")</f>
        <v>NO</v>
      </c>
      <c r="K27" t="str">
        <f>IF(NOT(ISERROR(MATCH(tblWeeklyData[[#This Row],[Date]], tblPublicHoliday[HOLIDAY], 0))), "YES", "NO")</f>
        <v>NO</v>
      </c>
      <c r="L27" t="str">
        <f>IF(OR(tblWeeklyData[[#This Row],[IsWeekend]]="YES", tblWeeklyData[[#This Row],[IsHoliday]]="YES"), "YES", "NO")</f>
        <v>NO</v>
      </c>
      <c r="M27">
        <f>INDEX(tblRefShift[Hour], MATCH(_xlfn.CONCAT(tblWeeklyData[[#This Row],[Role]],"_", tblWeeklyData[[#This Row],[ShiftCode]]), tblRefShift[ShiftID], 0))</f>
        <v>0</v>
      </c>
      <c r="N27">
        <f>IF(tblWeeklyData[[#This Row],[IsHoliday]]="YES", holiday_rate_multiplier, IF(WEEKDAY(tblWeeklyData[[#This Row],[Date]], 2)=6, sat_rate_multiplier, IF(WEEKDAY(tblWeeklyData[[#This Row],[Date]], 2)=7, sun_rate_multiplier, 1))) * tblWeeklyData[[#This Row],[HourlyRate]]*tblWeeklyData[[#This Row],[WorkingHour]]</f>
        <v>0</v>
      </c>
      <c r="O27">
        <f>tblWeeklyData[[#This Row],[MaxHour]]/7</f>
        <v>5.7142857142857144</v>
      </c>
      <c r="P27">
        <f>IF(AND(tblWeeklyData[[#This Row],[HolidayOrWeekend]]="YES", tblWeeklyData[[#This Row],[WorkingHour]]&gt;0), 1, 0)</f>
        <v>0</v>
      </c>
    </row>
    <row r="28" spans="1:16" x14ac:dyDescent="0.45">
      <c r="A28" t="s">
        <v>52</v>
      </c>
      <c r="B28" t="s">
        <v>26</v>
      </c>
      <c r="C28" t="s">
        <v>26</v>
      </c>
      <c r="D28" t="s">
        <v>49</v>
      </c>
      <c r="E28">
        <v>35</v>
      </c>
      <c r="F28">
        <v>40</v>
      </c>
      <c r="G28" t="s">
        <v>69</v>
      </c>
      <c r="H28" t="s">
        <v>41</v>
      </c>
      <c r="I28" s="24">
        <f>INDEX(Schedule!$9:$9, MATCH(tblWeeklyData[[#This Row],[WeekDay]], tblSchedule[#Headers],0))</f>
        <v>46116</v>
      </c>
      <c r="J28" t="str">
        <f>IF(WEEKDAY(tblWeeklyData[[#This Row],[Date]], 2)&gt;=6, "YES", "NO")</f>
        <v>YES</v>
      </c>
      <c r="K28" t="str">
        <f>IF(NOT(ISERROR(MATCH(tblWeeklyData[[#This Row],[Date]], tblPublicHoliday[HOLIDAY], 0))), "YES", "NO")</f>
        <v>NO</v>
      </c>
      <c r="L28" t="str">
        <f>IF(OR(tblWeeklyData[[#This Row],[IsWeekend]]="YES", tblWeeklyData[[#This Row],[IsHoliday]]="YES"), "YES", "NO")</f>
        <v>YES</v>
      </c>
      <c r="M28">
        <f>INDEX(tblRefShift[Hour], MATCH(_xlfn.CONCAT(tblWeeklyData[[#This Row],[Role]],"_", tblWeeklyData[[#This Row],[ShiftCode]]), tblRefShift[ShiftID], 0))</f>
        <v>0</v>
      </c>
      <c r="N28">
        <f>IF(tblWeeklyData[[#This Row],[IsHoliday]]="YES", holiday_rate_multiplier, IF(WEEKDAY(tblWeeklyData[[#This Row],[Date]], 2)=6, sat_rate_multiplier, IF(WEEKDAY(tblWeeklyData[[#This Row],[Date]], 2)=7, sun_rate_multiplier, 1))) * tblWeeklyData[[#This Row],[HourlyRate]]*tblWeeklyData[[#This Row],[WorkingHour]]</f>
        <v>0</v>
      </c>
      <c r="O28">
        <f>tblWeeklyData[[#This Row],[MaxHour]]/7</f>
        <v>5.7142857142857144</v>
      </c>
      <c r="P28">
        <f>IF(AND(tblWeeklyData[[#This Row],[HolidayOrWeekend]]="YES", tblWeeklyData[[#This Row],[WorkingHour]]&gt;0), 1, 0)</f>
        <v>0</v>
      </c>
    </row>
    <row r="29" spans="1:16" x14ac:dyDescent="0.45">
      <c r="A29" t="s">
        <v>52</v>
      </c>
      <c r="B29" t="s">
        <v>26</v>
      </c>
      <c r="C29" t="s">
        <v>26</v>
      </c>
      <c r="D29" t="s">
        <v>49</v>
      </c>
      <c r="E29">
        <v>35</v>
      </c>
      <c r="F29">
        <v>40</v>
      </c>
      <c r="G29" t="s">
        <v>70</v>
      </c>
      <c r="H29" t="s">
        <v>41</v>
      </c>
      <c r="I29" s="24">
        <f>INDEX(Schedule!$9:$9, MATCH(tblWeeklyData[[#This Row],[WeekDay]], tblSchedule[#Headers],0))</f>
        <v>46117</v>
      </c>
      <c r="J29" t="str">
        <f>IF(WEEKDAY(tblWeeklyData[[#This Row],[Date]], 2)&gt;=6, "YES", "NO")</f>
        <v>YES</v>
      </c>
      <c r="K29" t="str">
        <f>IF(NOT(ISERROR(MATCH(tblWeeklyData[[#This Row],[Date]], tblPublicHoliday[HOLIDAY], 0))), "YES", "NO")</f>
        <v>NO</v>
      </c>
      <c r="L29" t="str">
        <f>IF(OR(tblWeeklyData[[#This Row],[IsWeekend]]="YES", tblWeeklyData[[#This Row],[IsHoliday]]="YES"), "YES", "NO")</f>
        <v>YES</v>
      </c>
      <c r="M29">
        <f>INDEX(tblRefShift[Hour], MATCH(_xlfn.CONCAT(tblWeeklyData[[#This Row],[Role]],"_", tblWeeklyData[[#This Row],[ShiftCode]]), tblRefShift[ShiftID], 0))</f>
        <v>0</v>
      </c>
      <c r="N29">
        <f>IF(tblWeeklyData[[#This Row],[IsHoliday]]="YES", holiday_rate_multiplier, IF(WEEKDAY(tblWeeklyData[[#This Row],[Date]], 2)=6, sat_rate_multiplier, IF(WEEKDAY(tblWeeklyData[[#This Row],[Date]], 2)=7, sun_rate_multiplier, 1))) * tblWeeklyData[[#This Row],[HourlyRate]]*tblWeeklyData[[#This Row],[WorkingHour]]</f>
        <v>0</v>
      </c>
      <c r="O29">
        <f>tblWeeklyData[[#This Row],[MaxHour]]/7</f>
        <v>5.7142857142857144</v>
      </c>
      <c r="P29">
        <f>IF(AND(tblWeeklyData[[#This Row],[HolidayOrWeekend]]="YES", tblWeeklyData[[#This Row],[WorkingHour]]&gt;0), 1, 0)</f>
        <v>0</v>
      </c>
    </row>
    <row r="30" spans="1:16" x14ac:dyDescent="0.45">
      <c r="A30" t="s">
        <v>53</v>
      </c>
      <c r="B30" t="s">
        <v>26</v>
      </c>
      <c r="C30" t="s">
        <v>26</v>
      </c>
      <c r="D30" t="s">
        <v>49</v>
      </c>
      <c r="E30">
        <v>35</v>
      </c>
      <c r="F30">
        <v>40</v>
      </c>
      <c r="G30" t="s">
        <v>64</v>
      </c>
      <c r="H30" t="s">
        <v>44</v>
      </c>
      <c r="I30" s="24">
        <f>INDEX(Schedule!$9:$9, MATCH(tblWeeklyData[[#This Row],[WeekDay]], tblSchedule[#Headers],0))</f>
        <v>46111</v>
      </c>
      <c r="J30" t="str">
        <f>IF(WEEKDAY(tblWeeklyData[[#This Row],[Date]], 2)&gt;=6, "YES", "NO")</f>
        <v>NO</v>
      </c>
      <c r="K30" t="str">
        <f>IF(NOT(ISERROR(MATCH(tblWeeklyData[[#This Row],[Date]], tblPublicHoliday[HOLIDAY], 0))), "YES", "NO")</f>
        <v>NO</v>
      </c>
      <c r="L30" t="str">
        <f>IF(OR(tblWeeklyData[[#This Row],[IsWeekend]]="YES", tblWeeklyData[[#This Row],[IsHoliday]]="YES"), "YES", "NO")</f>
        <v>NO</v>
      </c>
      <c r="M30">
        <f>INDEX(tblRefShift[Hour], MATCH(_xlfn.CONCAT(tblWeeklyData[[#This Row],[Role]],"_", tblWeeklyData[[#This Row],[ShiftCode]]), tblRefShift[ShiftID], 0))</f>
        <v>8</v>
      </c>
      <c r="N30">
        <f>IF(tblWeeklyData[[#This Row],[IsHoliday]]="YES", holiday_rate_multiplier, IF(WEEKDAY(tblWeeklyData[[#This Row],[Date]], 2)=6, sat_rate_multiplier, IF(WEEKDAY(tblWeeklyData[[#This Row],[Date]], 2)=7, sun_rate_multiplier, 1))) * tblWeeklyData[[#This Row],[HourlyRate]]*tblWeeklyData[[#This Row],[WorkingHour]]</f>
        <v>280</v>
      </c>
      <c r="O30">
        <f>tblWeeklyData[[#This Row],[MaxHour]]/7</f>
        <v>5.7142857142857144</v>
      </c>
      <c r="P30">
        <f>IF(AND(tblWeeklyData[[#This Row],[HolidayOrWeekend]]="YES", tblWeeklyData[[#This Row],[WorkingHour]]&gt;0), 1, 0)</f>
        <v>0</v>
      </c>
    </row>
    <row r="31" spans="1:16" x14ac:dyDescent="0.45">
      <c r="A31" t="s">
        <v>53</v>
      </c>
      <c r="B31" t="s">
        <v>26</v>
      </c>
      <c r="C31" t="s">
        <v>26</v>
      </c>
      <c r="D31" t="s">
        <v>49</v>
      </c>
      <c r="E31">
        <v>35</v>
      </c>
      <c r="F31">
        <v>40</v>
      </c>
      <c r="G31" t="s">
        <v>65</v>
      </c>
      <c r="H31" t="s">
        <v>44</v>
      </c>
      <c r="I31" s="24">
        <f>INDEX(Schedule!$9:$9, MATCH(tblWeeklyData[[#This Row],[WeekDay]], tblSchedule[#Headers],0))</f>
        <v>46112</v>
      </c>
      <c r="J31" t="str">
        <f>IF(WEEKDAY(tblWeeklyData[[#This Row],[Date]], 2)&gt;=6, "YES", "NO")</f>
        <v>NO</v>
      </c>
      <c r="K31" t="str">
        <f>IF(NOT(ISERROR(MATCH(tblWeeklyData[[#This Row],[Date]], tblPublicHoliday[HOLIDAY], 0))), "YES", "NO")</f>
        <v>NO</v>
      </c>
      <c r="L31" t="str">
        <f>IF(OR(tblWeeklyData[[#This Row],[IsWeekend]]="YES", tblWeeklyData[[#This Row],[IsHoliday]]="YES"), "YES", "NO")</f>
        <v>NO</v>
      </c>
      <c r="M31">
        <f>INDEX(tblRefShift[Hour], MATCH(_xlfn.CONCAT(tblWeeklyData[[#This Row],[Role]],"_", tblWeeklyData[[#This Row],[ShiftCode]]), tblRefShift[ShiftID], 0))</f>
        <v>8</v>
      </c>
      <c r="N31">
        <f>IF(tblWeeklyData[[#This Row],[IsHoliday]]="YES", holiday_rate_multiplier, IF(WEEKDAY(tblWeeklyData[[#This Row],[Date]], 2)=6, sat_rate_multiplier, IF(WEEKDAY(tblWeeklyData[[#This Row],[Date]], 2)=7, sun_rate_multiplier, 1))) * tblWeeklyData[[#This Row],[HourlyRate]]*tblWeeklyData[[#This Row],[WorkingHour]]</f>
        <v>280</v>
      </c>
      <c r="O31">
        <f>tblWeeklyData[[#This Row],[MaxHour]]/7</f>
        <v>5.7142857142857144</v>
      </c>
      <c r="P31">
        <f>IF(AND(tblWeeklyData[[#This Row],[HolidayOrWeekend]]="YES", tblWeeklyData[[#This Row],[WorkingHour]]&gt;0), 1, 0)</f>
        <v>0</v>
      </c>
    </row>
    <row r="32" spans="1:16" x14ac:dyDescent="0.45">
      <c r="A32" t="s">
        <v>53</v>
      </c>
      <c r="B32" t="s">
        <v>26</v>
      </c>
      <c r="C32" t="s">
        <v>26</v>
      </c>
      <c r="D32" t="s">
        <v>49</v>
      </c>
      <c r="E32">
        <v>35</v>
      </c>
      <c r="F32">
        <v>40</v>
      </c>
      <c r="G32" t="s">
        <v>66</v>
      </c>
      <c r="H32" t="s">
        <v>42</v>
      </c>
      <c r="I32" s="24">
        <f>INDEX(Schedule!$9:$9, MATCH(tblWeeklyData[[#This Row],[WeekDay]], tblSchedule[#Headers],0))</f>
        <v>46113</v>
      </c>
      <c r="J32" t="str">
        <f>IF(WEEKDAY(tblWeeklyData[[#This Row],[Date]], 2)&gt;=6, "YES", "NO")</f>
        <v>NO</v>
      </c>
      <c r="K32" t="str">
        <f>IF(NOT(ISERROR(MATCH(tblWeeklyData[[#This Row],[Date]], tblPublicHoliday[HOLIDAY], 0))), "YES", "NO")</f>
        <v>NO</v>
      </c>
      <c r="L32" t="str">
        <f>IF(OR(tblWeeklyData[[#This Row],[IsWeekend]]="YES", tblWeeklyData[[#This Row],[IsHoliday]]="YES"), "YES", "NO")</f>
        <v>NO</v>
      </c>
      <c r="M32">
        <f>INDEX(tblRefShift[Hour], MATCH(_xlfn.CONCAT(tblWeeklyData[[#This Row],[Role]],"_", tblWeeklyData[[#This Row],[ShiftCode]]), tblRefShift[ShiftID], 0))</f>
        <v>7.9999999999999982</v>
      </c>
      <c r="N32">
        <f>IF(tblWeeklyData[[#This Row],[IsHoliday]]="YES", holiday_rate_multiplier, IF(WEEKDAY(tblWeeklyData[[#This Row],[Date]], 2)=6, sat_rate_multiplier, IF(WEEKDAY(tblWeeklyData[[#This Row],[Date]], 2)=7, sun_rate_multiplier, 1))) * tblWeeklyData[[#This Row],[HourlyRate]]*tblWeeklyData[[#This Row],[WorkingHour]]</f>
        <v>279.99999999999994</v>
      </c>
      <c r="O32">
        <f>tblWeeklyData[[#This Row],[MaxHour]]/7</f>
        <v>5.7142857142857144</v>
      </c>
      <c r="P32">
        <f>IF(AND(tblWeeklyData[[#This Row],[HolidayOrWeekend]]="YES", tblWeeklyData[[#This Row],[WorkingHour]]&gt;0), 1, 0)</f>
        <v>0</v>
      </c>
    </row>
    <row r="33" spans="1:16" x14ac:dyDescent="0.45">
      <c r="A33" t="s">
        <v>53</v>
      </c>
      <c r="B33" t="s">
        <v>26</v>
      </c>
      <c r="C33" t="s">
        <v>26</v>
      </c>
      <c r="D33" t="s">
        <v>49</v>
      </c>
      <c r="E33">
        <v>35</v>
      </c>
      <c r="F33">
        <v>40</v>
      </c>
      <c r="G33" t="s">
        <v>67</v>
      </c>
      <c r="H33" t="s">
        <v>44</v>
      </c>
      <c r="I33" s="24">
        <f>INDEX(Schedule!$9:$9, MATCH(tblWeeklyData[[#This Row],[WeekDay]], tblSchedule[#Headers],0))</f>
        <v>46114</v>
      </c>
      <c r="J33" t="str">
        <f>IF(WEEKDAY(tblWeeklyData[[#This Row],[Date]], 2)&gt;=6, "YES", "NO")</f>
        <v>NO</v>
      </c>
      <c r="K33" t="str">
        <f>IF(NOT(ISERROR(MATCH(tblWeeklyData[[#This Row],[Date]], tblPublicHoliday[HOLIDAY], 0))), "YES", "NO")</f>
        <v>NO</v>
      </c>
      <c r="L33" t="str">
        <f>IF(OR(tblWeeklyData[[#This Row],[IsWeekend]]="YES", tblWeeklyData[[#This Row],[IsHoliday]]="YES"), "YES", "NO")</f>
        <v>NO</v>
      </c>
      <c r="M33">
        <f>INDEX(tblRefShift[Hour], MATCH(_xlfn.CONCAT(tblWeeklyData[[#This Row],[Role]],"_", tblWeeklyData[[#This Row],[ShiftCode]]), tblRefShift[ShiftID], 0))</f>
        <v>8</v>
      </c>
      <c r="N33">
        <f>IF(tblWeeklyData[[#This Row],[IsHoliday]]="YES", holiday_rate_multiplier, IF(WEEKDAY(tblWeeklyData[[#This Row],[Date]], 2)=6, sat_rate_multiplier, IF(WEEKDAY(tblWeeklyData[[#This Row],[Date]], 2)=7, sun_rate_multiplier, 1))) * tblWeeklyData[[#This Row],[HourlyRate]]*tblWeeklyData[[#This Row],[WorkingHour]]</f>
        <v>280</v>
      </c>
      <c r="O33">
        <f>tblWeeklyData[[#This Row],[MaxHour]]/7</f>
        <v>5.7142857142857144</v>
      </c>
      <c r="P33">
        <f>IF(AND(tblWeeklyData[[#This Row],[HolidayOrWeekend]]="YES", tblWeeklyData[[#This Row],[WorkingHour]]&gt;0), 1, 0)</f>
        <v>0</v>
      </c>
    </row>
    <row r="34" spans="1:16" x14ac:dyDescent="0.45">
      <c r="A34" t="s">
        <v>53</v>
      </c>
      <c r="B34" t="s">
        <v>26</v>
      </c>
      <c r="C34" t="s">
        <v>26</v>
      </c>
      <c r="D34" t="s">
        <v>49</v>
      </c>
      <c r="E34">
        <v>35</v>
      </c>
      <c r="F34">
        <v>40</v>
      </c>
      <c r="G34" t="s">
        <v>68</v>
      </c>
      <c r="H34" t="s">
        <v>41</v>
      </c>
      <c r="I34" s="24">
        <f>INDEX(Schedule!$9:$9, MATCH(tblWeeklyData[[#This Row],[WeekDay]], tblSchedule[#Headers],0))</f>
        <v>46115</v>
      </c>
      <c r="J34" t="str">
        <f>IF(WEEKDAY(tblWeeklyData[[#This Row],[Date]], 2)&gt;=6, "YES", "NO")</f>
        <v>NO</v>
      </c>
      <c r="K34" t="str">
        <f>IF(NOT(ISERROR(MATCH(tblWeeklyData[[#This Row],[Date]], tblPublicHoliday[HOLIDAY], 0))), "YES", "NO")</f>
        <v>NO</v>
      </c>
      <c r="L34" t="str">
        <f>IF(OR(tblWeeklyData[[#This Row],[IsWeekend]]="YES", tblWeeklyData[[#This Row],[IsHoliday]]="YES"), "YES", "NO")</f>
        <v>NO</v>
      </c>
      <c r="M34">
        <f>INDEX(tblRefShift[Hour], MATCH(_xlfn.CONCAT(tblWeeklyData[[#This Row],[Role]],"_", tblWeeklyData[[#This Row],[ShiftCode]]), tblRefShift[ShiftID], 0))</f>
        <v>0</v>
      </c>
      <c r="N34">
        <f>IF(tblWeeklyData[[#This Row],[IsHoliday]]="YES", holiday_rate_multiplier, IF(WEEKDAY(tblWeeklyData[[#This Row],[Date]], 2)=6, sat_rate_multiplier, IF(WEEKDAY(tblWeeklyData[[#This Row],[Date]], 2)=7, sun_rate_multiplier, 1))) * tblWeeklyData[[#This Row],[HourlyRate]]*tblWeeklyData[[#This Row],[WorkingHour]]</f>
        <v>0</v>
      </c>
      <c r="O34">
        <f>tblWeeklyData[[#This Row],[MaxHour]]/7</f>
        <v>5.7142857142857144</v>
      </c>
      <c r="P34">
        <f>IF(AND(tblWeeklyData[[#This Row],[HolidayOrWeekend]]="YES", tblWeeklyData[[#This Row],[WorkingHour]]&gt;0), 1, 0)</f>
        <v>0</v>
      </c>
    </row>
    <row r="35" spans="1:16" x14ac:dyDescent="0.45">
      <c r="A35" t="s">
        <v>53</v>
      </c>
      <c r="B35" t="s">
        <v>26</v>
      </c>
      <c r="C35" t="s">
        <v>26</v>
      </c>
      <c r="D35" t="s">
        <v>49</v>
      </c>
      <c r="E35">
        <v>35</v>
      </c>
      <c r="F35">
        <v>40</v>
      </c>
      <c r="G35" t="s">
        <v>69</v>
      </c>
      <c r="H35" t="s">
        <v>42</v>
      </c>
      <c r="I35" s="24">
        <f>INDEX(Schedule!$9:$9, MATCH(tblWeeklyData[[#This Row],[WeekDay]], tblSchedule[#Headers],0))</f>
        <v>46116</v>
      </c>
      <c r="J35" t="str">
        <f>IF(WEEKDAY(tblWeeklyData[[#This Row],[Date]], 2)&gt;=6, "YES", "NO")</f>
        <v>YES</v>
      </c>
      <c r="K35" t="str">
        <f>IF(NOT(ISERROR(MATCH(tblWeeklyData[[#This Row],[Date]], tblPublicHoliday[HOLIDAY], 0))), "YES", "NO")</f>
        <v>NO</v>
      </c>
      <c r="L35" t="str">
        <f>IF(OR(tblWeeklyData[[#This Row],[IsWeekend]]="YES", tblWeeklyData[[#This Row],[IsHoliday]]="YES"), "YES", "NO")</f>
        <v>YES</v>
      </c>
      <c r="M35">
        <f>INDEX(tblRefShift[Hour], MATCH(_xlfn.CONCAT(tblWeeklyData[[#This Row],[Role]],"_", tblWeeklyData[[#This Row],[ShiftCode]]), tblRefShift[ShiftID], 0))</f>
        <v>7.9999999999999982</v>
      </c>
      <c r="N35">
        <f>IF(tblWeeklyData[[#This Row],[IsHoliday]]="YES", holiday_rate_multiplier, IF(WEEKDAY(tblWeeklyData[[#This Row],[Date]], 2)=6, sat_rate_multiplier, IF(WEEKDAY(tblWeeklyData[[#This Row],[Date]], 2)=7, sun_rate_multiplier, 1))) * tblWeeklyData[[#This Row],[HourlyRate]]*tblWeeklyData[[#This Row],[WorkingHour]]</f>
        <v>419.99999999999989</v>
      </c>
      <c r="O35">
        <f>tblWeeklyData[[#This Row],[MaxHour]]/7</f>
        <v>5.7142857142857144</v>
      </c>
      <c r="P35">
        <f>IF(AND(tblWeeklyData[[#This Row],[HolidayOrWeekend]]="YES", tblWeeklyData[[#This Row],[WorkingHour]]&gt;0), 1, 0)</f>
        <v>1</v>
      </c>
    </row>
    <row r="36" spans="1:16" x14ac:dyDescent="0.45">
      <c r="A36" t="s">
        <v>53</v>
      </c>
      <c r="B36" t="s">
        <v>26</v>
      </c>
      <c r="C36" t="s">
        <v>26</v>
      </c>
      <c r="D36" t="s">
        <v>49</v>
      </c>
      <c r="E36">
        <v>35</v>
      </c>
      <c r="F36">
        <v>40</v>
      </c>
      <c r="G36" t="s">
        <v>70</v>
      </c>
      <c r="H36" t="s">
        <v>42</v>
      </c>
      <c r="I36" s="24">
        <f>INDEX(Schedule!$9:$9, MATCH(tblWeeklyData[[#This Row],[WeekDay]], tblSchedule[#Headers],0))</f>
        <v>46117</v>
      </c>
      <c r="J36" t="str">
        <f>IF(WEEKDAY(tblWeeklyData[[#This Row],[Date]], 2)&gt;=6, "YES", "NO")</f>
        <v>YES</v>
      </c>
      <c r="K36" t="str">
        <f>IF(NOT(ISERROR(MATCH(tblWeeklyData[[#This Row],[Date]], tblPublicHoliday[HOLIDAY], 0))), "YES", "NO")</f>
        <v>NO</v>
      </c>
      <c r="L36" t="str">
        <f>IF(OR(tblWeeklyData[[#This Row],[IsWeekend]]="YES", tblWeeklyData[[#This Row],[IsHoliday]]="YES"), "YES", "NO")</f>
        <v>YES</v>
      </c>
      <c r="M36">
        <f>INDEX(tblRefShift[Hour], MATCH(_xlfn.CONCAT(tblWeeklyData[[#This Row],[Role]],"_", tblWeeklyData[[#This Row],[ShiftCode]]), tblRefShift[ShiftID], 0))</f>
        <v>7.9999999999999982</v>
      </c>
      <c r="N36">
        <f>IF(tblWeeklyData[[#This Row],[IsHoliday]]="YES", holiday_rate_multiplier, IF(WEEKDAY(tblWeeklyData[[#This Row],[Date]], 2)=6, sat_rate_multiplier, IF(WEEKDAY(tblWeeklyData[[#This Row],[Date]], 2)=7, sun_rate_multiplier, 1))) * tblWeeklyData[[#This Row],[HourlyRate]]*tblWeeklyData[[#This Row],[WorkingHour]]</f>
        <v>419.99999999999989</v>
      </c>
      <c r="O36">
        <f>tblWeeklyData[[#This Row],[MaxHour]]/7</f>
        <v>5.7142857142857144</v>
      </c>
      <c r="P36">
        <f>IF(AND(tblWeeklyData[[#This Row],[HolidayOrWeekend]]="YES", tblWeeklyData[[#This Row],[WorkingHour]]&gt;0), 1, 0)</f>
        <v>1</v>
      </c>
    </row>
    <row r="37" spans="1:16" x14ac:dyDescent="0.45">
      <c r="A37" t="s">
        <v>54</v>
      </c>
      <c r="B37" t="s">
        <v>25</v>
      </c>
      <c r="C37" t="s">
        <v>26</v>
      </c>
      <c r="D37" t="s">
        <v>49</v>
      </c>
      <c r="E37">
        <v>28</v>
      </c>
      <c r="F37">
        <v>40</v>
      </c>
      <c r="G37" t="s">
        <v>64</v>
      </c>
      <c r="H37" t="s">
        <v>41</v>
      </c>
      <c r="I37" s="24">
        <f>INDEX(Schedule!$9:$9, MATCH(tblWeeklyData[[#This Row],[WeekDay]], tblSchedule[#Headers],0))</f>
        <v>46111</v>
      </c>
      <c r="J37" t="str">
        <f>IF(WEEKDAY(tblWeeklyData[[#This Row],[Date]], 2)&gt;=6, "YES", "NO")</f>
        <v>NO</v>
      </c>
      <c r="K37" t="str">
        <f>IF(NOT(ISERROR(MATCH(tblWeeklyData[[#This Row],[Date]], tblPublicHoliday[HOLIDAY], 0))), "YES", "NO")</f>
        <v>NO</v>
      </c>
      <c r="L37" t="str">
        <f>IF(OR(tblWeeklyData[[#This Row],[IsWeekend]]="YES", tblWeeklyData[[#This Row],[IsHoliday]]="YES"), "YES", "NO")</f>
        <v>NO</v>
      </c>
      <c r="M37">
        <f>INDEX(tblRefShift[Hour], MATCH(_xlfn.CONCAT(tblWeeklyData[[#This Row],[Role]],"_", tblWeeklyData[[#This Row],[ShiftCode]]), tblRefShift[ShiftID], 0))</f>
        <v>0</v>
      </c>
      <c r="N37">
        <f>IF(tblWeeklyData[[#This Row],[IsHoliday]]="YES", holiday_rate_multiplier, IF(WEEKDAY(tblWeeklyData[[#This Row],[Date]], 2)=6, sat_rate_multiplier, IF(WEEKDAY(tblWeeklyData[[#This Row],[Date]], 2)=7, sun_rate_multiplier, 1))) * tblWeeklyData[[#This Row],[HourlyRate]]*tblWeeklyData[[#This Row],[WorkingHour]]</f>
        <v>0</v>
      </c>
      <c r="O37">
        <f>tblWeeklyData[[#This Row],[MaxHour]]/7</f>
        <v>5.7142857142857144</v>
      </c>
      <c r="P37">
        <f>IF(AND(tblWeeklyData[[#This Row],[HolidayOrWeekend]]="YES", tblWeeklyData[[#This Row],[WorkingHour]]&gt;0), 1, 0)</f>
        <v>0</v>
      </c>
    </row>
    <row r="38" spans="1:16" x14ac:dyDescent="0.45">
      <c r="A38" t="s">
        <v>54</v>
      </c>
      <c r="B38" t="s">
        <v>25</v>
      </c>
      <c r="C38" t="s">
        <v>26</v>
      </c>
      <c r="D38" t="s">
        <v>49</v>
      </c>
      <c r="E38">
        <v>28</v>
      </c>
      <c r="F38">
        <v>40</v>
      </c>
      <c r="G38" t="s">
        <v>65</v>
      </c>
      <c r="H38" t="s">
        <v>41</v>
      </c>
      <c r="I38" s="24">
        <f>INDEX(Schedule!$9:$9, MATCH(tblWeeklyData[[#This Row],[WeekDay]], tblSchedule[#Headers],0))</f>
        <v>46112</v>
      </c>
      <c r="J38" t="str">
        <f>IF(WEEKDAY(tblWeeklyData[[#This Row],[Date]], 2)&gt;=6, "YES", "NO")</f>
        <v>NO</v>
      </c>
      <c r="K38" t="str">
        <f>IF(NOT(ISERROR(MATCH(tblWeeklyData[[#This Row],[Date]], tblPublicHoliday[HOLIDAY], 0))), "YES", "NO")</f>
        <v>NO</v>
      </c>
      <c r="L38" t="str">
        <f>IF(OR(tblWeeklyData[[#This Row],[IsWeekend]]="YES", tblWeeklyData[[#This Row],[IsHoliday]]="YES"), "YES", "NO")</f>
        <v>NO</v>
      </c>
      <c r="M38">
        <f>INDEX(tblRefShift[Hour], MATCH(_xlfn.CONCAT(tblWeeklyData[[#This Row],[Role]],"_", tblWeeklyData[[#This Row],[ShiftCode]]), tblRefShift[ShiftID], 0))</f>
        <v>0</v>
      </c>
      <c r="N38">
        <f>IF(tblWeeklyData[[#This Row],[IsHoliday]]="YES", holiday_rate_multiplier, IF(WEEKDAY(tblWeeklyData[[#This Row],[Date]], 2)=6, sat_rate_multiplier, IF(WEEKDAY(tblWeeklyData[[#This Row],[Date]], 2)=7, sun_rate_multiplier, 1))) * tblWeeklyData[[#This Row],[HourlyRate]]*tblWeeklyData[[#This Row],[WorkingHour]]</f>
        <v>0</v>
      </c>
      <c r="O38">
        <f>tblWeeklyData[[#This Row],[MaxHour]]/7</f>
        <v>5.7142857142857144</v>
      </c>
      <c r="P38">
        <f>IF(AND(tblWeeklyData[[#This Row],[HolidayOrWeekend]]="YES", tblWeeklyData[[#This Row],[WorkingHour]]&gt;0), 1, 0)</f>
        <v>0</v>
      </c>
    </row>
    <row r="39" spans="1:16" x14ac:dyDescent="0.45">
      <c r="A39" t="s">
        <v>54</v>
      </c>
      <c r="B39" t="s">
        <v>25</v>
      </c>
      <c r="C39" t="s">
        <v>26</v>
      </c>
      <c r="D39" t="s">
        <v>49</v>
      </c>
      <c r="E39">
        <v>28</v>
      </c>
      <c r="F39">
        <v>40</v>
      </c>
      <c r="G39" t="s">
        <v>66</v>
      </c>
      <c r="H39" t="s">
        <v>42</v>
      </c>
      <c r="I39" s="24">
        <f>INDEX(Schedule!$9:$9, MATCH(tblWeeklyData[[#This Row],[WeekDay]], tblSchedule[#Headers],0))</f>
        <v>46113</v>
      </c>
      <c r="J39" t="str">
        <f>IF(WEEKDAY(tblWeeklyData[[#This Row],[Date]], 2)&gt;=6, "YES", "NO")</f>
        <v>NO</v>
      </c>
      <c r="K39" t="str">
        <f>IF(NOT(ISERROR(MATCH(tblWeeklyData[[#This Row],[Date]], tblPublicHoliday[HOLIDAY], 0))), "YES", "NO")</f>
        <v>NO</v>
      </c>
      <c r="L39" t="str">
        <f>IF(OR(tblWeeklyData[[#This Row],[IsWeekend]]="YES", tblWeeklyData[[#This Row],[IsHoliday]]="YES"), "YES", "NO")</f>
        <v>NO</v>
      </c>
      <c r="M39">
        <f>INDEX(tblRefShift[Hour], MATCH(_xlfn.CONCAT(tblWeeklyData[[#This Row],[Role]],"_", tblWeeklyData[[#This Row],[ShiftCode]]), tblRefShift[ShiftID], 0))</f>
        <v>7.9999999999999982</v>
      </c>
      <c r="N39">
        <f>IF(tblWeeklyData[[#This Row],[IsHoliday]]="YES", holiday_rate_multiplier, IF(WEEKDAY(tblWeeklyData[[#This Row],[Date]], 2)=6, sat_rate_multiplier, IF(WEEKDAY(tblWeeklyData[[#This Row],[Date]], 2)=7, sun_rate_multiplier, 1))) * tblWeeklyData[[#This Row],[HourlyRate]]*tblWeeklyData[[#This Row],[WorkingHour]]</f>
        <v>223.99999999999994</v>
      </c>
      <c r="O39">
        <f>tblWeeklyData[[#This Row],[MaxHour]]/7</f>
        <v>5.7142857142857144</v>
      </c>
      <c r="P39">
        <f>IF(AND(tblWeeklyData[[#This Row],[HolidayOrWeekend]]="YES", tblWeeklyData[[#This Row],[WorkingHour]]&gt;0), 1, 0)</f>
        <v>0</v>
      </c>
    </row>
    <row r="40" spans="1:16" x14ac:dyDescent="0.45">
      <c r="A40" t="s">
        <v>54</v>
      </c>
      <c r="B40" t="s">
        <v>25</v>
      </c>
      <c r="C40" t="s">
        <v>26</v>
      </c>
      <c r="D40" t="s">
        <v>49</v>
      </c>
      <c r="E40">
        <v>28</v>
      </c>
      <c r="F40">
        <v>40</v>
      </c>
      <c r="G40" t="s">
        <v>67</v>
      </c>
      <c r="H40" t="s">
        <v>42</v>
      </c>
      <c r="I40" s="24">
        <f>INDEX(Schedule!$9:$9, MATCH(tblWeeklyData[[#This Row],[WeekDay]], tblSchedule[#Headers],0))</f>
        <v>46114</v>
      </c>
      <c r="J40" t="str">
        <f>IF(WEEKDAY(tblWeeklyData[[#This Row],[Date]], 2)&gt;=6, "YES", "NO")</f>
        <v>NO</v>
      </c>
      <c r="K40" t="str">
        <f>IF(NOT(ISERROR(MATCH(tblWeeklyData[[#This Row],[Date]], tblPublicHoliday[HOLIDAY], 0))), "YES", "NO")</f>
        <v>NO</v>
      </c>
      <c r="L40" t="str">
        <f>IF(OR(tblWeeklyData[[#This Row],[IsWeekend]]="YES", tblWeeklyData[[#This Row],[IsHoliday]]="YES"), "YES", "NO")</f>
        <v>NO</v>
      </c>
      <c r="M40">
        <f>INDEX(tblRefShift[Hour], MATCH(_xlfn.CONCAT(tblWeeklyData[[#This Row],[Role]],"_", tblWeeklyData[[#This Row],[ShiftCode]]), tblRefShift[ShiftID], 0))</f>
        <v>7.9999999999999982</v>
      </c>
      <c r="N40">
        <f>IF(tblWeeklyData[[#This Row],[IsHoliday]]="YES", holiday_rate_multiplier, IF(WEEKDAY(tblWeeklyData[[#This Row],[Date]], 2)=6, sat_rate_multiplier, IF(WEEKDAY(tblWeeklyData[[#This Row],[Date]], 2)=7, sun_rate_multiplier, 1))) * tblWeeklyData[[#This Row],[HourlyRate]]*tblWeeklyData[[#This Row],[WorkingHour]]</f>
        <v>223.99999999999994</v>
      </c>
      <c r="O40">
        <f>tblWeeklyData[[#This Row],[MaxHour]]/7</f>
        <v>5.7142857142857144</v>
      </c>
      <c r="P40">
        <f>IF(AND(tblWeeklyData[[#This Row],[HolidayOrWeekend]]="YES", tblWeeklyData[[#This Row],[WorkingHour]]&gt;0), 1, 0)</f>
        <v>0</v>
      </c>
    </row>
    <row r="41" spans="1:16" x14ac:dyDescent="0.45">
      <c r="A41" t="s">
        <v>54</v>
      </c>
      <c r="B41" t="s">
        <v>25</v>
      </c>
      <c r="C41" t="s">
        <v>26</v>
      </c>
      <c r="D41" t="s">
        <v>49</v>
      </c>
      <c r="E41">
        <v>28</v>
      </c>
      <c r="F41">
        <v>40</v>
      </c>
      <c r="G41" t="s">
        <v>68</v>
      </c>
      <c r="H41" t="s">
        <v>42</v>
      </c>
      <c r="I41" s="24">
        <f>INDEX(Schedule!$9:$9, MATCH(tblWeeklyData[[#This Row],[WeekDay]], tblSchedule[#Headers],0))</f>
        <v>46115</v>
      </c>
      <c r="J41" t="str">
        <f>IF(WEEKDAY(tblWeeklyData[[#This Row],[Date]], 2)&gt;=6, "YES", "NO")</f>
        <v>NO</v>
      </c>
      <c r="K41" t="str">
        <f>IF(NOT(ISERROR(MATCH(tblWeeklyData[[#This Row],[Date]], tblPublicHoliday[HOLIDAY], 0))), "YES", "NO")</f>
        <v>NO</v>
      </c>
      <c r="L41" t="str">
        <f>IF(OR(tblWeeklyData[[#This Row],[IsWeekend]]="YES", tblWeeklyData[[#This Row],[IsHoliday]]="YES"), "YES", "NO")</f>
        <v>NO</v>
      </c>
      <c r="M41">
        <f>INDEX(tblRefShift[Hour], MATCH(_xlfn.CONCAT(tblWeeklyData[[#This Row],[Role]],"_", tblWeeklyData[[#This Row],[ShiftCode]]), tblRefShift[ShiftID], 0))</f>
        <v>7.9999999999999982</v>
      </c>
      <c r="N41">
        <f>IF(tblWeeklyData[[#This Row],[IsHoliday]]="YES", holiday_rate_multiplier, IF(WEEKDAY(tblWeeklyData[[#This Row],[Date]], 2)=6, sat_rate_multiplier, IF(WEEKDAY(tblWeeklyData[[#This Row],[Date]], 2)=7, sun_rate_multiplier, 1))) * tblWeeklyData[[#This Row],[HourlyRate]]*tblWeeklyData[[#This Row],[WorkingHour]]</f>
        <v>223.99999999999994</v>
      </c>
      <c r="O41">
        <f>tblWeeklyData[[#This Row],[MaxHour]]/7</f>
        <v>5.7142857142857144</v>
      </c>
      <c r="P41">
        <f>IF(AND(tblWeeklyData[[#This Row],[HolidayOrWeekend]]="YES", tblWeeklyData[[#This Row],[WorkingHour]]&gt;0), 1, 0)</f>
        <v>0</v>
      </c>
    </row>
    <row r="42" spans="1:16" x14ac:dyDescent="0.45">
      <c r="A42" t="s">
        <v>54</v>
      </c>
      <c r="B42" t="s">
        <v>25</v>
      </c>
      <c r="C42" t="s">
        <v>26</v>
      </c>
      <c r="D42" t="s">
        <v>49</v>
      </c>
      <c r="E42">
        <v>28</v>
      </c>
      <c r="F42">
        <v>40</v>
      </c>
      <c r="G42" t="s">
        <v>69</v>
      </c>
      <c r="H42" t="s">
        <v>44</v>
      </c>
      <c r="I42" s="24">
        <f>INDEX(Schedule!$9:$9, MATCH(tblWeeklyData[[#This Row],[WeekDay]], tblSchedule[#Headers],0))</f>
        <v>46116</v>
      </c>
      <c r="J42" t="str">
        <f>IF(WEEKDAY(tblWeeklyData[[#This Row],[Date]], 2)&gt;=6, "YES", "NO")</f>
        <v>YES</v>
      </c>
      <c r="K42" t="str">
        <f>IF(NOT(ISERROR(MATCH(tblWeeklyData[[#This Row],[Date]], tblPublicHoliday[HOLIDAY], 0))), "YES", "NO")</f>
        <v>NO</v>
      </c>
      <c r="L42" t="str">
        <f>IF(OR(tblWeeklyData[[#This Row],[IsWeekend]]="YES", tblWeeklyData[[#This Row],[IsHoliday]]="YES"), "YES", "NO")</f>
        <v>YES</v>
      </c>
      <c r="M42">
        <f>INDEX(tblRefShift[Hour], MATCH(_xlfn.CONCAT(tblWeeklyData[[#This Row],[Role]],"_", tblWeeklyData[[#This Row],[ShiftCode]]), tblRefShift[ShiftID], 0))</f>
        <v>8</v>
      </c>
      <c r="N42">
        <f>IF(tblWeeklyData[[#This Row],[IsHoliday]]="YES", holiday_rate_multiplier, IF(WEEKDAY(tblWeeklyData[[#This Row],[Date]], 2)=6, sat_rate_multiplier, IF(WEEKDAY(tblWeeklyData[[#This Row],[Date]], 2)=7, sun_rate_multiplier, 1))) * tblWeeklyData[[#This Row],[HourlyRate]]*tblWeeklyData[[#This Row],[WorkingHour]]</f>
        <v>336</v>
      </c>
      <c r="O42">
        <f>tblWeeklyData[[#This Row],[MaxHour]]/7</f>
        <v>5.7142857142857144</v>
      </c>
      <c r="P42">
        <f>IF(AND(tblWeeklyData[[#This Row],[HolidayOrWeekend]]="YES", tblWeeklyData[[#This Row],[WorkingHour]]&gt;0), 1, 0)</f>
        <v>1</v>
      </c>
    </row>
    <row r="43" spans="1:16" x14ac:dyDescent="0.45">
      <c r="A43" t="s">
        <v>54</v>
      </c>
      <c r="B43" t="s">
        <v>25</v>
      </c>
      <c r="C43" t="s">
        <v>26</v>
      </c>
      <c r="D43" t="s">
        <v>49</v>
      </c>
      <c r="E43">
        <v>28</v>
      </c>
      <c r="F43">
        <v>40</v>
      </c>
      <c r="G43" t="s">
        <v>70</v>
      </c>
      <c r="H43" t="s">
        <v>44</v>
      </c>
      <c r="I43" s="24">
        <f>INDEX(Schedule!$9:$9, MATCH(tblWeeklyData[[#This Row],[WeekDay]], tblSchedule[#Headers],0))</f>
        <v>46117</v>
      </c>
      <c r="J43" t="str">
        <f>IF(WEEKDAY(tblWeeklyData[[#This Row],[Date]], 2)&gt;=6, "YES", "NO")</f>
        <v>YES</v>
      </c>
      <c r="K43" t="str">
        <f>IF(NOT(ISERROR(MATCH(tblWeeklyData[[#This Row],[Date]], tblPublicHoliday[HOLIDAY], 0))), "YES", "NO")</f>
        <v>NO</v>
      </c>
      <c r="L43" t="str">
        <f>IF(OR(tblWeeklyData[[#This Row],[IsWeekend]]="YES", tblWeeklyData[[#This Row],[IsHoliday]]="YES"), "YES", "NO")</f>
        <v>YES</v>
      </c>
      <c r="M43">
        <f>INDEX(tblRefShift[Hour], MATCH(_xlfn.CONCAT(tblWeeklyData[[#This Row],[Role]],"_", tblWeeklyData[[#This Row],[ShiftCode]]), tblRefShift[ShiftID], 0))</f>
        <v>8</v>
      </c>
      <c r="N43">
        <f>IF(tblWeeklyData[[#This Row],[IsHoliday]]="YES", holiday_rate_multiplier, IF(WEEKDAY(tblWeeklyData[[#This Row],[Date]], 2)=6, sat_rate_multiplier, IF(WEEKDAY(tblWeeklyData[[#This Row],[Date]], 2)=7, sun_rate_multiplier, 1))) * tblWeeklyData[[#This Row],[HourlyRate]]*tblWeeklyData[[#This Row],[WorkingHour]]</f>
        <v>336</v>
      </c>
      <c r="O43">
        <f>tblWeeklyData[[#This Row],[MaxHour]]/7</f>
        <v>5.7142857142857144</v>
      </c>
      <c r="P43">
        <f>IF(AND(tblWeeklyData[[#This Row],[HolidayOrWeekend]]="YES", tblWeeklyData[[#This Row],[WorkingHour]]&gt;0), 1, 0)</f>
        <v>1</v>
      </c>
    </row>
    <row r="44" spans="1:16" x14ac:dyDescent="0.45">
      <c r="A44" t="s">
        <v>55</v>
      </c>
      <c r="B44" t="s">
        <v>25</v>
      </c>
      <c r="C44" t="s">
        <v>26</v>
      </c>
      <c r="D44" t="s">
        <v>49</v>
      </c>
      <c r="E44">
        <v>28</v>
      </c>
      <c r="F44">
        <v>40</v>
      </c>
      <c r="G44" t="s">
        <v>64</v>
      </c>
      <c r="H44" t="s">
        <v>44</v>
      </c>
      <c r="I44" s="24">
        <f>INDEX(Schedule!$9:$9, MATCH(tblWeeklyData[[#This Row],[WeekDay]], tblSchedule[#Headers],0))</f>
        <v>46111</v>
      </c>
      <c r="J44" t="str">
        <f>IF(WEEKDAY(tblWeeklyData[[#This Row],[Date]], 2)&gt;=6, "YES", "NO")</f>
        <v>NO</v>
      </c>
      <c r="K44" t="str">
        <f>IF(NOT(ISERROR(MATCH(tblWeeklyData[[#This Row],[Date]], tblPublicHoliday[HOLIDAY], 0))), "YES", "NO")</f>
        <v>NO</v>
      </c>
      <c r="L44" t="str">
        <f>IF(OR(tblWeeklyData[[#This Row],[IsWeekend]]="YES", tblWeeklyData[[#This Row],[IsHoliday]]="YES"), "YES", "NO")</f>
        <v>NO</v>
      </c>
      <c r="M44">
        <f>INDEX(tblRefShift[Hour], MATCH(_xlfn.CONCAT(tblWeeklyData[[#This Row],[Role]],"_", tblWeeklyData[[#This Row],[ShiftCode]]), tblRefShift[ShiftID], 0))</f>
        <v>8</v>
      </c>
      <c r="N44">
        <f>IF(tblWeeklyData[[#This Row],[IsHoliday]]="YES", holiday_rate_multiplier, IF(WEEKDAY(tblWeeklyData[[#This Row],[Date]], 2)=6, sat_rate_multiplier, IF(WEEKDAY(tblWeeklyData[[#This Row],[Date]], 2)=7, sun_rate_multiplier, 1))) * tblWeeklyData[[#This Row],[HourlyRate]]*tblWeeklyData[[#This Row],[WorkingHour]]</f>
        <v>224</v>
      </c>
      <c r="O44">
        <f>tblWeeklyData[[#This Row],[MaxHour]]/7</f>
        <v>5.7142857142857144</v>
      </c>
      <c r="P44">
        <f>IF(AND(tblWeeklyData[[#This Row],[HolidayOrWeekend]]="YES", tblWeeklyData[[#This Row],[WorkingHour]]&gt;0), 1, 0)</f>
        <v>0</v>
      </c>
    </row>
    <row r="45" spans="1:16" x14ac:dyDescent="0.45">
      <c r="A45" t="s">
        <v>55</v>
      </c>
      <c r="B45" t="s">
        <v>25</v>
      </c>
      <c r="C45" t="s">
        <v>26</v>
      </c>
      <c r="D45" t="s">
        <v>49</v>
      </c>
      <c r="E45">
        <v>28</v>
      </c>
      <c r="F45">
        <v>40</v>
      </c>
      <c r="G45" t="s">
        <v>65</v>
      </c>
      <c r="H45" t="s">
        <v>44</v>
      </c>
      <c r="I45" s="24">
        <f>INDEX(Schedule!$9:$9, MATCH(tblWeeklyData[[#This Row],[WeekDay]], tblSchedule[#Headers],0))</f>
        <v>46112</v>
      </c>
      <c r="J45" t="str">
        <f>IF(WEEKDAY(tblWeeklyData[[#This Row],[Date]], 2)&gt;=6, "YES", "NO")</f>
        <v>NO</v>
      </c>
      <c r="K45" t="str">
        <f>IF(NOT(ISERROR(MATCH(tblWeeklyData[[#This Row],[Date]], tblPublicHoliday[HOLIDAY], 0))), "YES", "NO")</f>
        <v>NO</v>
      </c>
      <c r="L45" t="str">
        <f>IF(OR(tblWeeklyData[[#This Row],[IsWeekend]]="YES", tblWeeklyData[[#This Row],[IsHoliday]]="YES"), "YES", "NO")</f>
        <v>NO</v>
      </c>
      <c r="M45">
        <f>INDEX(tblRefShift[Hour], MATCH(_xlfn.CONCAT(tblWeeklyData[[#This Row],[Role]],"_", tblWeeklyData[[#This Row],[ShiftCode]]), tblRefShift[ShiftID], 0))</f>
        <v>8</v>
      </c>
      <c r="N45">
        <f>IF(tblWeeklyData[[#This Row],[IsHoliday]]="YES", holiday_rate_multiplier, IF(WEEKDAY(tblWeeklyData[[#This Row],[Date]], 2)=6, sat_rate_multiplier, IF(WEEKDAY(tblWeeklyData[[#This Row],[Date]], 2)=7, sun_rate_multiplier, 1))) * tblWeeklyData[[#This Row],[HourlyRate]]*tblWeeklyData[[#This Row],[WorkingHour]]</f>
        <v>224</v>
      </c>
      <c r="O45">
        <f>tblWeeklyData[[#This Row],[MaxHour]]/7</f>
        <v>5.7142857142857144</v>
      </c>
      <c r="P45">
        <f>IF(AND(tblWeeklyData[[#This Row],[HolidayOrWeekend]]="YES", tblWeeklyData[[#This Row],[WorkingHour]]&gt;0), 1, 0)</f>
        <v>0</v>
      </c>
    </row>
    <row r="46" spans="1:16" x14ac:dyDescent="0.45">
      <c r="A46" t="s">
        <v>55</v>
      </c>
      <c r="B46" t="s">
        <v>25</v>
      </c>
      <c r="C46" t="s">
        <v>26</v>
      </c>
      <c r="D46" t="s">
        <v>49</v>
      </c>
      <c r="E46">
        <v>28</v>
      </c>
      <c r="F46">
        <v>40</v>
      </c>
      <c r="G46" t="s">
        <v>66</v>
      </c>
      <c r="H46" t="s">
        <v>44</v>
      </c>
      <c r="I46" s="24">
        <f>INDEX(Schedule!$9:$9, MATCH(tblWeeklyData[[#This Row],[WeekDay]], tblSchedule[#Headers],0))</f>
        <v>46113</v>
      </c>
      <c r="J46" t="str">
        <f>IF(WEEKDAY(tblWeeklyData[[#This Row],[Date]], 2)&gt;=6, "YES", "NO")</f>
        <v>NO</v>
      </c>
      <c r="K46" t="str">
        <f>IF(NOT(ISERROR(MATCH(tblWeeklyData[[#This Row],[Date]], tblPublicHoliday[HOLIDAY], 0))), "YES", "NO")</f>
        <v>NO</v>
      </c>
      <c r="L46" t="str">
        <f>IF(OR(tblWeeklyData[[#This Row],[IsWeekend]]="YES", tblWeeklyData[[#This Row],[IsHoliday]]="YES"), "YES", "NO")</f>
        <v>NO</v>
      </c>
      <c r="M46">
        <f>INDEX(tblRefShift[Hour], MATCH(_xlfn.CONCAT(tblWeeklyData[[#This Row],[Role]],"_", tblWeeklyData[[#This Row],[ShiftCode]]), tblRefShift[ShiftID], 0))</f>
        <v>8</v>
      </c>
      <c r="N46">
        <f>IF(tblWeeklyData[[#This Row],[IsHoliday]]="YES", holiday_rate_multiplier, IF(WEEKDAY(tblWeeklyData[[#This Row],[Date]], 2)=6, sat_rate_multiplier, IF(WEEKDAY(tblWeeklyData[[#This Row],[Date]], 2)=7, sun_rate_multiplier, 1))) * tblWeeklyData[[#This Row],[HourlyRate]]*tblWeeklyData[[#This Row],[WorkingHour]]</f>
        <v>224</v>
      </c>
      <c r="O46">
        <f>tblWeeklyData[[#This Row],[MaxHour]]/7</f>
        <v>5.7142857142857144</v>
      </c>
      <c r="P46">
        <f>IF(AND(tblWeeklyData[[#This Row],[HolidayOrWeekend]]="YES", tblWeeklyData[[#This Row],[WorkingHour]]&gt;0), 1, 0)</f>
        <v>0</v>
      </c>
    </row>
    <row r="47" spans="1:16" x14ac:dyDescent="0.45">
      <c r="A47" t="s">
        <v>55</v>
      </c>
      <c r="B47" t="s">
        <v>25</v>
      </c>
      <c r="C47" t="s">
        <v>26</v>
      </c>
      <c r="D47" t="s">
        <v>49</v>
      </c>
      <c r="E47">
        <v>28</v>
      </c>
      <c r="F47">
        <v>40</v>
      </c>
      <c r="G47" t="s">
        <v>67</v>
      </c>
      <c r="H47" t="s">
        <v>44</v>
      </c>
      <c r="I47" s="24">
        <f>INDEX(Schedule!$9:$9, MATCH(tblWeeklyData[[#This Row],[WeekDay]], tblSchedule[#Headers],0))</f>
        <v>46114</v>
      </c>
      <c r="J47" t="str">
        <f>IF(WEEKDAY(tblWeeklyData[[#This Row],[Date]], 2)&gt;=6, "YES", "NO")</f>
        <v>NO</v>
      </c>
      <c r="K47" t="str">
        <f>IF(NOT(ISERROR(MATCH(tblWeeklyData[[#This Row],[Date]], tblPublicHoliday[HOLIDAY], 0))), "YES", "NO")</f>
        <v>NO</v>
      </c>
      <c r="L47" t="str">
        <f>IF(OR(tblWeeklyData[[#This Row],[IsWeekend]]="YES", tblWeeklyData[[#This Row],[IsHoliday]]="YES"), "YES", "NO")</f>
        <v>NO</v>
      </c>
      <c r="M47">
        <f>INDEX(tblRefShift[Hour], MATCH(_xlfn.CONCAT(tblWeeklyData[[#This Row],[Role]],"_", tblWeeklyData[[#This Row],[ShiftCode]]), tblRefShift[ShiftID], 0))</f>
        <v>8</v>
      </c>
      <c r="N47">
        <f>IF(tblWeeklyData[[#This Row],[IsHoliday]]="YES", holiday_rate_multiplier, IF(WEEKDAY(tblWeeklyData[[#This Row],[Date]], 2)=6, sat_rate_multiplier, IF(WEEKDAY(tblWeeklyData[[#This Row],[Date]], 2)=7, sun_rate_multiplier, 1))) * tblWeeklyData[[#This Row],[HourlyRate]]*tblWeeklyData[[#This Row],[WorkingHour]]</f>
        <v>224</v>
      </c>
      <c r="O47">
        <f>tblWeeklyData[[#This Row],[MaxHour]]/7</f>
        <v>5.7142857142857144</v>
      </c>
      <c r="P47">
        <f>IF(AND(tblWeeklyData[[#This Row],[HolidayOrWeekend]]="YES", tblWeeklyData[[#This Row],[WorkingHour]]&gt;0), 1, 0)</f>
        <v>0</v>
      </c>
    </row>
    <row r="48" spans="1:16" x14ac:dyDescent="0.45">
      <c r="A48" t="s">
        <v>55</v>
      </c>
      <c r="B48" t="s">
        <v>25</v>
      </c>
      <c r="C48" t="s">
        <v>26</v>
      </c>
      <c r="D48" t="s">
        <v>49</v>
      </c>
      <c r="E48">
        <v>28</v>
      </c>
      <c r="F48">
        <v>40</v>
      </c>
      <c r="G48" t="s">
        <v>68</v>
      </c>
      <c r="H48" t="s">
        <v>44</v>
      </c>
      <c r="I48" s="24">
        <f>INDEX(Schedule!$9:$9, MATCH(tblWeeklyData[[#This Row],[WeekDay]], tblSchedule[#Headers],0))</f>
        <v>46115</v>
      </c>
      <c r="J48" t="str">
        <f>IF(WEEKDAY(tblWeeklyData[[#This Row],[Date]], 2)&gt;=6, "YES", "NO")</f>
        <v>NO</v>
      </c>
      <c r="K48" t="str">
        <f>IF(NOT(ISERROR(MATCH(tblWeeklyData[[#This Row],[Date]], tblPublicHoliday[HOLIDAY], 0))), "YES", "NO")</f>
        <v>NO</v>
      </c>
      <c r="L48" t="str">
        <f>IF(OR(tblWeeklyData[[#This Row],[IsWeekend]]="YES", tblWeeklyData[[#This Row],[IsHoliday]]="YES"), "YES", "NO")</f>
        <v>NO</v>
      </c>
      <c r="M48">
        <f>INDEX(tblRefShift[Hour], MATCH(_xlfn.CONCAT(tblWeeklyData[[#This Row],[Role]],"_", tblWeeklyData[[#This Row],[ShiftCode]]), tblRefShift[ShiftID], 0))</f>
        <v>8</v>
      </c>
      <c r="N48">
        <f>IF(tblWeeklyData[[#This Row],[IsHoliday]]="YES", holiday_rate_multiplier, IF(WEEKDAY(tblWeeklyData[[#This Row],[Date]], 2)=6, sat_rate_multiplier, IF(WEEKDAY(tblWeeklyData[[#This Row],[Date]], 2)=7, sun_rate_multiplier, 1))) * tblWeeklyData[[#This Row],[HourlyRate]]*tblWeeklyData[[#This Row],[WorkingHour]]</f>
        <v>224</v>
      </c>
      <c r="O48">
        <f>tblWeeklyData[[#This Row],[MaxHour]]/7</f>
        <v>5.7142857142857144</v>
      </c>
      <c r="P48">
        <f>IF(AND(tblWeeklyData[[#This Row],[HolidayOrWeekend]]="YES", tblWeeklyData[[#This Row],[WorkingHour]]&gt;0), 1, 0)</f>
        <v>0</v>
      </c>
    </row>
    <row r="49" spans="1:16" x14ac:dyDescent="0.45">
      <c r="A49" t="s">
        <v>55</v>
      </c>
      <c r="B49" t="s">
        <v>25</v>
      </c>
      <c r="C49" t="s">
        <v>26</v>
      </c>
      <c r="D49" t="s">
        <v>49</v>
      </c>
      <c r="E49">
        <v>28</v>
      </c>
      <c r="F49">
        <v>40</v>
      </c>
      <c r="G49" t="s">
        <v>69</v>
      </c>
      <c r="H49" t="s">
        <v>41</v>
      </c>
      <c r="I49" s="24">
        <f>INDEX(Schedule!$9:$9, MATCH(tblWeeklyData[[#This Row],[WeekDay]], tblSchedule[#Headers],0))</f>
        <v>46116</v>
      </c>
      <c r="J49" t="str">
        <f>IF(WEEKDAY(tblWeeklyData[[#This Row],[Date]], 2)&gt;=6, "YES", "NO")</f>
        <v>YES</v>
      </c>
      <c r="K49" t="str">
        <f>IF(NOT(ISERROR(MATCH(tblWeeklyData[[#This Row],[Date]], tblPublicHoliday[HOLIDAY], 0))), "YES", "NO")</f>
        <v>NO</v>
      </c>
      <c r="L49" t="str">
        <f>IF(OR(tblWeeklyData[[#This Row],[IsWeekend]]="YES", tblWeeklyData[[#This Row],[IsHoliday]]="YES"), "YES", "NO")</f>
        <v>YES</v>
      </c>
      <c r="M49">
        <f>INDEX(tblRefShift[Hour], MATCH(_xlfn.CONCAT(tblWeeklyData[[#This Row],[Role]],"_", tblWeeklyData[[#This Row],[ShiftCode]]), tblRefShift[ShiftID], 0))</f>
        <v>0</v>
      </c>
      <c r="N49">
        <f>IF(tblWeeklyData[[#This Row],[IsHoliday]]="YES", holiday_rate_multiplier, IF(WEEKDAY(tblWeeklyData[[#This Row],[Date]], 2)=6, sat_rate_multiplier, IF(WEEKDAY(tblWeeklyData[[#This Row],[Date]], 2)=7, sun_rate_multiplier, 1))) * tblWeeklyData[[#This Row],[HourlyRate]]*tblWeeklyData[[#This Row],[WorkingHour]]</f>
        <v>0</v>
      </c>
      <c r="O49">
        <f>tblWeeklyData[[#This Row],[MaxHour]]/7</f>
        <v>5.7142857142857144</v>
      </c>
      <c r="P49">
        <f>IF(AND(tblWeeklyData[[#This Row],[HolidayOrWeekend]]="YES", tblWeeklyData[[#This Row],[WorkingHour]]&gt;0), 1, 0)</f>
        <v>0</v>
      </c>
    </row>
    <row r="50" spans="1:16" x14ac:dyDescent="0.45">
      <c r="A50" t="s">
        <v>55</v>
      </c>
      <c r="B50" t="s">
        <v>25</v>
      </c>
      <c r="C50" t="s">
        <v>26</v>
      </c>
      <c r="D50" t="s">
        <v>49</v>
      </c>
      <c r="E50">
        <v>28</v>
      </c>
      <c r="F50">
        <v>40</v>
      </c>
      <c r="G50" t="s">
        <v>70</v>
      </c>
      <c r="H50" t="s">
        <v>41</v>
      </c>
      <c r="I50" s="24">
        <f>INDEX(Schedule!$9:$9, MATCH(tblWeeklyData[[#This Row],[WeekDay]], tblSchedule[#Headers],0))</f>
        <v>46117</v>
      </c>
      <c r="J50" t="str">
        <f>IF(WEEKDAY(tblWeeklyData[[#This Row],[Date]], 2)&gt;=6, "YES", "NO")</f>
        <v>YES</v>
      </c>
      <c r="K50" t="str">
        <f>IF(NOT(ISERROR(MATCH(tblWeeklyData[[#This Row],[Date]], tblPublicHoliday[HOLIDAY], 0))), "YES", "NO")</f>
        <v>NO</v>
      </c>
      <c r="L50" t="str">
        <f>IF(OR(tblWeeklyData[[#This Row],[IsWeekend]]="YES", tblWeeklyData[[#This Row],[IsHoliday]]="YES"), "YES", "NO")</f>
        <v>YES</v>
      </c>
      <c r="M50">
        <f>INDEX(tblRefShift[Hour], MATCH(_xlfn.CONCAT(tblWeeklyData[[#This Row],[Role]],"_", tblWeeklyData[[#This Row],[ShiftCode]]), tblRefShift[ShiftID], 0))</f>
        <v>0</v>
      </c>
      <c r="N50">
        <f>IF(tblWeeklyData[[#This Row],[IsHoliday]]="YES", holiday_rate_multiplier, IF(WEEKDAY(tblWeeklyData[[#This Row],[Date]], 2)=6, sat_rate_multiplier, IF(WEEKDAY(tblWeeklyData[[#This Row],[Date]], 2)=7, sun_rate_multiplier, 1))) * tblWeeklyData[[#This Row],[HourlyRate]]*tblWeeklyData[[#This Row],[WorkingHour]]</f>
        <v>0</v>
      </c>
      <c r="O50">
        <f>tblWeeklyData[[#This Row],[MaxHour]]/7</f>
        <v>5.7142857142857144</v>
      </c>
      <c r="P50">
        <f>IF(AND(tblWeeklyData[[#This Row],[HolidayOrWeekend]]="YES", tblWeeklyData[[#This Row],[WorkingHour]]&gt;0), 1, 0)</f>
        <v>0</v>
      </c>
    </row>
    <row r="51" spans="1:16" x14ac:dyDescent="0.45">
      <c r="A51" t="s">
        <v>56</v>
      </c>
      <c r="B51" t="s">
        <v>29</v>
      </c>
      <c r="C51" t="s">
        <v>29</v>
      </c>
      <c r="D51" t="s">
        <v>49</v>
      </c>
      <c r="E51">
        <v>20</v>
      </c>
      <c r="F51">
        <v>40</v>
      </c>
      <c r="G51" t="s">
        <v>64</v>
      </c>
      <c r="H51" t="s">
        <v>45</v>
      </c>
      <c r="I51" s="24">
        <f>INDEX(Schedule!$9:$9, MATCH(tblWeeklyData[[#This Row],[WeekDay]], tblSchedule[#Headers],0))</f>
        <v>46111</v>
      </c>
      <c r="J51" t="str">
        <f>IF(WEEKDAY(tblWeeklyData[[#This Row],[Date]], 2)&gt;=6, "YES", "NO")</f>
        <v>NO</v>
      </c>
      <c r="K51" t="str">
        <f>IF(NOT(ISERROR(MATCH(tblWeeklyData[[#This Row],[Date]], tblPublicHoliday[HOLIDAY], 0))), "YES", "NO")</f>
        <v>NO</v>
      </c>
      <c r="L51" t="str">
        <f>IF(OR(tblWeeklyData[[#This Row],[IsWeekend]]="YES", tblWeeklyData[[#This Row],[IsHoliday]]="YES"), "YES", "NO")</f>
        <v>NO</v>
      </c>
      <c r="M51">
        <f>INDEX(tblRefShift[Hour], MATCH(_xlfn.CONCAT(tblWeeklyData[[#This Row],[Role]],"_", tblWeeklyData[[#This Row],[ShiftCode]]), tblRefShift[ShiftID], 0))</f>
        <v>7.9999999999999982</v>
      </c>
      <c r="N51">
        <f>IF(tblWeeklyData[[#This Row],[IsHoliday]]="YES", holiday_rate_multiplier, IF(WEEKDAY(tblWeeklyData[[#This Row],[Date]], 2)=6, sat_rate_multiplier, IF(WEEKDAY(tblWeeklyData[[#This Row],[Date]], 2)=7, sun_rate_multiplier, 1))) * tblWeeklyData[[#This Row],[HourlyRate]]*tblWeeklyData[[#This Row],[WorkingHour]]</f>
        <v>159.99999999999997</v>
      </c>
      <c r="O51">
        <f>tblWeeklyData[[#This Row],[MaxHour]]/7</f>
        <v>5.7142857142857144</v>
      </c>
      <c r="P51">
        <f>IF(AND(tblWeeklyData[[#This Row],[HolidayOrWeekend]]="YES", tblWeeklyData[[#This Row],[WorkingHour]]&gt;0), 1, 0)</f>
        <v>0</v>
      </c>
    </row>
    <row r="52" spans="1:16" x14ac:dyDescent="0.45">
      <c r="A52" t="s">
        <v>56</v>
      </c>
      <c r="B52" t="s">
        <v>29</v>
      </c>
      <c r="C52" t="s">
        <v>29</v>
      </c>
      <c r="D52" t="s">
        <v>49</v>
      </c>
      <c r="E52">
        <v>20</v>
      </c>
      <c r="F52">
        <v>40</v>
      </c>
      <c r="G52" t="s">
        <v>65</v>
      </c>
      <c r="H52" t="s">
        <v>45</v>
      </c>
      <c r="I52" s="24">
        <f>INDEX(Schedule!$9:$9, MATCH(tblWeeklyData[[#This Row],[WeekDay]], tblSchedule[#Headers],0))</f>
        <v>46112</v>
      </c>
      <c r="J52" t="str">
        <f>IF(WEEKDAY(tblWeeklyData[[#This Row],[Date]], 2)&gt;=6, "YES", "NO")</f>
        <v>NO</v>
      </c>
      <c r="K52" t="str">
        <f>IF(NOT(ISERROR(MATCH(tblWeeklyData[[#This Row],[Date]], tblPublicHoliday[HOLIDAY], 0))), "YES", "NO")</f>
        <v>NO</v>
      </c>
      <c r="L52" t="str">
        <f>IF(OR(tblWeeklyData[[#This Row],[IsWeekend]]="YES", tblWeeklyData[[#This Row],[IsHoliday]]="YES"), "YES", "NO")</f>
        <v>NO</v>
      </c>
      <c r="M52">
        <f>INDEX(tblRefShift[Hour], MATCH(_xlfn.CONCAT(tblWeeklyData[[#This Row],[Role]],"_", tblWeeklyData[[#This Row],[ShiftCode]]), tblRefShift[ShiftID], 0))</f>
        <v>7.9999999999999982</v>
      </c>
      <c r="N52">
        <f>IF(tblWeeklyData[[#This Row],[IsHoliday]]="YES", holiday_rate_multiplier, IF(WEEKDAY(tblWeeklyData[[#This Row],[Date]], 2)=6, sat_rate_multiplier, IF(WEEKDAY(tblWeeklyData[[#This Row],[Date]], 2)=7, sun_rate_multiplier, 1))) * tblWeeklyData[[#This Row],[HourlyRate]]*tblWeeklyData[[#This Row],[WorkingHour]]</f>
        <v>159.99999999999997</v>
      </c>
      <c r="O52">
        <f>tblWeeklyData[[#This Row],[MaxHour]]/7</f>
        <v>5.7142857142857144</v>
      </c>
      <c r="P52">
        <f>IF(AND(tblWeeklyData[[#This Row],[HolidayOrWeekend]]="YES", tblWeeklyData[[#This Row],[WorkingHour]]&gt;0), 1, 0)</f>
        <v>0</v>
      </c>
    </row>
    <row r="53" spans="1:16" x14ac:dyDescent="0.45">
      <c r="A53" t="s">
        <v>56</v>
      </c>
      <c r="B53" t="s">
        <v>29</v>
      </c>
      <c r="C53" t="s">
        <v>29</v>
      </c>
      <c r="D53" t="s">
        <v>49</v>
      </c>
      <c r="E53">
        <v>20</v>
      </c>
      <c r="F53">
        <v>40</v>
      </c>
      <c r="G53" t="s">
        <v>66</v>
      </c>
      <c r="H53" t="s">
        <v>45</v>
      </c>
      <c r="I53" s="24">
        <f>INDEX(Schedule!$9:$9, MATCH(tblWeeklyData[[#This Row],[WeekDay]], tblSchedule[#Headers],0))</f>
        <v>46113</v>
      </c>
      <c r="J53" t="str">
        <f>IF(WEEKDAY(tblWeeklyData[[#This Row],[Date]], 2)&gt;=6, "YES", "NO")</f>
        <v>NO</v>
      </c>
      <c r="K53" t="str">
        <f>IF(NOT(ISERROR(MATCH(tblWeeklyData[[#This Row],[Date]], tblPublicHoliday[HOLIDAY], 0))), "YES", "NO")</f>
        <v>NO</v>
      </c>
      <c r="L53" t="str">
        <f>IF(OR(tblWeeklyData[[#This Row],[IsWeekend]]="YES", tblWeeklyData[[#This Row],[IsHoliday]]="YES"), "YES", "NO")</f>
        <v>NO</v>
      </c>
      <c r="M53">
        <f>INDEX(tblRefShift[Hour], MATCH(_xlfn.CONCAT(tblWeeklyData[[#This Row],[Role]],"_", tblWeeklyData[[#This Row],[ShiftCode]]), tblRefShift[ShiftID], 0))</f>
        <v>7.9999999999999982</v>
      </c>
      <c r="N53">
        <f>IF(tblWeeklyData[[#This Row],[IsHoliday]]="YES", holiday_rate_multiplier, IF(WEEKDAY(tblWeeklyData[[#This Row],[Date]], 2)=6, sat_rate_multiplier, IF(WEEKDAY(tblWeeklyData[[#This Row],[Date]], 2)=7, sun_rate_multiplier, 1))) * tblWeeklyData[[#This Row],[HourlyRate]]*tblWeeklyData[[#This Row],[WorkingHour]]</f>
        <v>159.99999999999997</v>
      </c>
      <c r="O53">
        <f>tblWeeklyData[[#This Row],[MaxHour]]/7</f>
        <v>5.7142857142857144</v>
      </c>
      <c r="P53">
        <f>IF(AND(tblWeeklyData[[#This Row],[HolidayOrWeekend]]="YES", tblWeeklyData[[#This Row],[WorkingHour]]&gt;0), 1, 0)</f>
        <v>0</v>
      </c>
    </row>
    <row r="54" spans="1:16" x14ac:dyDescent="0.45">
      <c r="A54" t="s">
        <v>56</v>
      </c>
      <c r="B54" t="s">
        <v>29</v>
      </c>
      <c r="C54" t="s">
        <v>29</v>
      </c>
      <c r="D54" t="s">
        <v>49</v>
      </c>
      <c r="E54">
        <v>20</v>
      </c>
      <c r="F54">
        <v>40</v>
      </c>
      <c r="G54" t="s">
        <v>67</v>
      </c>
      <c r="H54" t="s">
        <v>45</v>
      </c>
      <c r="I54" s="24">
        <f>INDEX(Schedule!$9:$9, MATCH(tblWeeklyData[[#This Row],[WeekDay]], tblSchedule[#Headers],0))</f>
        <v>46114</v>
      </c>
      <c r="J54" t="str">
        <f>IF(WEEKDAY(tblWeeklyData[[#This Row],[Date]], 2)&gt;=6, "YES", "NO")</f>
        <v>NO</v>
      </c>
      <c r="K54" t="str">
        <f>IF(NOT(ISERROR(MATCH(tblWeeklyData[[#This Row],[Date]], tblPublicHoliday[HOLIDAY], 0))), "YES", "NO")</f>
        <v>NO</v>
      </c>
      <c r="L54" t="str">
        <f>IF(OR(tblWeeklyData[[#This Row],[IsWeekend]]="YES", tblWeeklyData[[#This Row],[IsHoliday]]="YES"), "YES", "NO")</f>
        <v>NO</v>
      </c>
      <c r="M54">
        <f>INDEX(tblRefShift[Hour], MATCH(_xlfn.CONCAT(tblWeeklyData[[#This Row],[Role]],"_", tblWeeklyData[[#This Row],[ShiftCode]]), tblRefShift[ShiftID], 0))</f>
        <v>7.9999999999999982</v>
      </c>
      <c r="N54">
        <f>IF(tblWeeklyData[[#This Row],[IsHoliday]]="YES", holiday_rate_multiplier, IF(WEEKDAY(tblWeeklyData[[#This Row],[Date]], 2)=6, sat_rate_multiplier, IF(WEEKDAY(tblWeeklyData[[#This Row],[Date]], 2)=7, sun_rate_multiplier, 1))) * tblWeeklyData[[#This Row],[HourlyRate]]*tblWeeklyData[[#This Row],[WorkingHour]]</f>
        <v>159.99999999999997</v>
      </c>
      <c r="O54">
        <f>tblWeeklyData[[#This Row],[MaxHour]]/7</f>
        <v>5.7142857142857144</v>
      </c>
      <c r="P54">
        <f>IF(AND(tblWeeklyData[[#This Row],[HolidayOrWeekend]]="YES", tblWeeklyData[[#This Row],[WorkingHour]]&gt;0), 1, 0)</f>
        <v>0</v>
      </c>
    </row>
    <row r="55" spans="1:16" x14ac:dyDescent="0.45">
      <c r="A55" t="s">
        <v>56</v>
      </c>
      <c r="B55" t="s">
        <v>29</v>
      </c>
      <c r="C55" t="s">
        <v>29</v>
      </c>
      <c r="D55" t="s">
        <v>49</v>
      </c>
      <c r="E55">
        <v>20</v>
      </c>
      <c r="F55">
        <v>40</v>
      </c>
      <c r="G55" t="s">
        <v>68</v>
      </c>
      <c r="H55" t="s">
        <v>44</v>
      </c>
      <c r="I55" s="24">
        <f>INDEX(Schedule!$9:$9, MATCH(tblWeeklyData[[#This Row],[WeekDay]], tblSchedule[#Headers],0))</f>
        <v>46115</v>
      </c>
      <c r="J55" t="str">
        <f>IF(WEEKDAY(tblWeeklyData[[#This Row],[Date]], 2)&gt;=6, "YES", "NO")</f>
        <v>NO</v>
      </c>
      <c r="K55" t="str">
        <f>IF(NOT(ISERROR(MATCH(tblWeeklyData[[#This Row],[Date]], tblPublicHoliday[HOLIDAY], 0))), "YES", "NO")</f>
        <v>NO</v>
      </c>
      <c r="L55" t="str">
        <f>IF(OR(tblWeeklyData[[#This Row],[IsWeekend]]="YES", tblWeeklyData[[#This Row],[IsHoliday]]="YES"), "YES", "NO")</f>
        <v>NO</v>
      </c>
      <c r="M55">
        <f>INDEX(tblRefShift[Hour], MATCH(_xlfn.CONCAT(tblWeeklyData[[#This Row],[Role]],"_", tblWeeklyData[[#This Row],[ShiftCode]]), tblRefShift[ShiftID], 0))</f>
        <v>8</v>
      </c>
      <c r="N55">
        <f>IF(tblWeeklyData[[#This Row],[IsHoliday]]="YES", holiday_rate_multiplier, IF(WEEKDAY(tblWeeklyData[[#This Row],[Date]], 2)=6, sat_rate_multiplier, IF(WEEKDAY(tblWeeklyData[[#This Row],[Date]], 2)=7, sun_rate_multiplier, 1))) * tblWeeklyData[[#This Row],[HourlyRate]]*tblWeeklyData[[#This Row],[WorkingHour]]</f>
        <v>160</v>
      </c>
      <c r="O55">
        <f>tblWeeklyData[[#This Row],[MaxHour]]/7</f>
        <v>5.7142857142857144</v>
      </c>
      <c r="P55">
        <f>IF(AND(tblWeeklyData[[#This Row],[HolidayOrWeekend]]="YES", tblWeeklyData[[#This Row],[WorkingHour]]&gt;0), 1, 0)</f>
        <v>0</v>
      </c>
    </row>
    <row r="56" spans="1:16" x14ac:dyDescent="0.45">
      <c r="A56" t="s">
        <v>56</v>
      </c>
      <c r="B56" t="s">
        <v>29</v>
      </c>
      <c r="C56" t="s">
        <v>29</v>
      </c>
      <c r="D56" t="s">
        <v>49</v>
      </c>
      <c r="E56">
        <v>20</v>
      </c>
      <c r="F56">
        <v>40</v>
      </c>
      <c r="G56" t="s">
        <v>69</v>
      </c>
      <c r="H56" t="s">
        <v>41</v>
      </c>
      <c r="I56" s="24">
        <f>INDEX(Schedule!$9:$9, MATCH(tblWeeklyData[[#This Row],[WeekDay]], tblSchedule[#Headers],0))</f>
        <v>46116</v>
      </c>
      <c r="J56" t="str">
        <f>IF(WEEKDAY(tblWeeklyData[[#This Row],[Date]], 2)&gt;=6, "YES", "NO")</f>
        <v>YES</v>
      </c>
      <c r="K56" t="str">
        <f>IF(NOT(ISERROR(MATCH(tblWeeklyData[[#This Row],[Date]], tblPublicHoliday[HOLIDAY], 0))), "YES", "NO")</f>
        <v>NO</v>
      </c>
      <c r="L56" t="str">
        <f>IF(OR(tblWeeklyData[[#This Row],[IsWeekend]]="YES", tblWeeklyData[[#This Row],[IsHoliday]]="YES"), "YES", "NO")</f>
        <v>YES</v>
      </c>
      <c r="M56">
        <f>INDEX(tblRefShift[Hour], MATCH(_xlfn.CONCAT(tblWeeklyData[[#This Row],[Role]],"_", tblWeeklyData[[#This Row],[ShiftCode]]), tblRefShift[ShiftID], 0))</f>
        <v>0</v>
      </c>
      <c r="N56">
        <f>IF(tblWeeklyData[[#This Row],[IsHoliday]]="YES", holiday_rate_multiplier, IF(WEEKDAY(tblWeeklyData[[#This Row],[Date]], 2)=6, sat_rate_multiplier, IF(WEEKDAY(tblWeeklyData[[#This Row],[Date]], 2)=7, sun_rate_multiplier, 1))) * tblWeeklyData[[#This Row],[HourlyRate]]*tblWeeklyData[[#This Row],[WorkingHour]]</f>
        <v>0</v>
      </c>
      <c r="O56">
        <f>tblWeeklyData[[#This Row],[MaxHour]]/7</f>
        <v>5.7142857142857144</v>
      </c>
      <c r="P56">
        <f>IF(AND(tblWeeklyData[[#This Row],[HolidayOrWeekend]]="YES", tblWeeklyData[[#This Row],[WorkingHour]]&gt;0), 1, 0)</f>
        <v>0</v>
      </c>
    </row>
    <row r="57" spans="1:16" x14ac:dyDescent="0.45">
      <c r="A57" t="s">
        <v>56</v>
      </c>
      <c r="B57" t="s">
        <v>29</v>
      </c>
      <c r="C57" t="s">
        <v>29</v>
      </c>
      <c r="D57" t="s">
        <v>49</v>
      </c>
      <c r="E57">
        <v>20</v>
      </c>
      <c r="F57">
        <v>40</v>
      </c>
      <c r="G57" t="s">
        <v>70</v>
      </c>
      <c r="H57" t="s">
        <v>45</v>
      </c>
      <c r="I57" s="24">
        <f>INDEX(Schedule!$9:$9, MATCH(tblWeeklyData[[#This Row],[WeekDay]], tblSchedule[#Headers],0))</f>
        <v>46117</v>
      </c>
      <c r="J57" t="str">
        <f>IF(WEEKDAY(tblWeeklyData[[#This Row],[Date]], 2)&gt;=6, "YES", "NO")</f>
        <v>YES</v>
      </c>
      <c r="K57" t="str">
        <f>IF(NOT(ISERROR(MATCH(tblWeeklyData[[#This Row],[Date]], tblPublicHoliday[HOLIDAY], 0))), "YES", "NO")</f>
        <v>NO</v>
      </c>
      <c r="L57" t="str">
        <f>IF(OR(tblWeeklyData[[#This Row],[IsWeekend]]="YES", tblWeeklyData[[#This Row],[IsHoliday]]="YES"), "YES", "NO")</f>
        <v>YES</v>
      </c>
      <c r="M57">
        <f>INDEX(tblRefShift[Hour], MATCH(_xlfn.CONCAT(tblWeeklyData[[#This Row],[Role]],"_", tblWeeklyData[[#This Row],[ShiftCode]]), tblRefShift[ShiftID], 0))</f>
        <v>7.9999999999999982</v>
      </c>
      <c r="N57">
        <f>IF(tblWeeklyData[[#This Row],[IsHoliday]]="YES", holiday_rate_multiplier, IF(WEEKDAY(tblWeeklyData[[#This Row],[Date]], 2)=6, sat_rate_multiplier, IF(WEEKDAY(tblWeeklyData[[#This Row],[Date]], 2)=7, sun_rate_multiplier, 1))) * tblWeeklyData[[#This Row],[HourlyRate]]*tblWeeklyData[[#This Row],[WorkingHour]]</f>
        <v>239.99999999999994</v>
      </c>
      <c r="O57">
        <f>tblWeeklyData[[#This Row],[MaxHour]]/7</f>
        <v>5.7142857142857144</v>
      </c>
      <c r="P57">
        <f>IF(AND(tblWeeklyData[[#This Row],[HolidayOrWeekend]]="YES", tblWeeklyData[[#This Row],[WorkingHour]]&gt;0), 1, 0)</f>
        <v>1</v>
      </c>
    </row>
    <row r="58" spans="1:16" x14ac:dyDescent="0.45">
      <c r="A58" t="s">
        <v>57</v>
      </c>
      <c r="B58" t="s">
        <v>29</v>
      </c>
      <c r="C58" t="s">
        <v>29</v>
      </c>
      <c r="D58" t="s">
        <v>49</v>
      </c>
      <c r="E58">
        <v>20</v>
      </c>
      <c r="F58">
        <v>40</v>
      </c>
      <c r="G58" t="s">
        <v>64</v>
      </c>
      <c r="H58" t="s">
        <v>44</v>
      </c>
      <c r="I58" s="24">
        <f>INDEX(Schedule!$9:$9, MATCH(tblWeeklyData[[#This Row],[WeekDay]], tblSchedule[#Headers],0))</f>
        <v>46111</v>
      </c>
      <c r="J58" t="str">
        <f>IF(WEEKDAY(tblWeeklyData[[#This Row],[Date]], 2)&gt;=6, "YES", "NO")</f>
        <v>NO</v>
      </c>
      <c r="K58" t="str">
        <f>IF(NOT(ISERROR(MATCH(tblWeeklyData[[#This Row],[Date]], tblPublicHoliday[HOLIDAY], 0))), "YES", "NO")</f>
        <v>NO</v>
      </c>
      <c r="L58" t="str">
        <f>IF(OR(tblWeeklyData[[#This Row],[IsWeekend]]="YES", tblWeeklyData[[#This Row],[IsHoliday]]="YES"), "YES", "NO")</f>
        <v>NO</v>
      </c>
      <c r="M58">
        <f>INDEX(tblRefShift[Hour], MATCH(_xlfn.CONCAT(tblWeeklyData[[#This Row],[Role]],"_", tblWeeklyData[[#This Row],[ShiftCode]]), tblRefShift[ShiftID], 0))</f>
        <v>8</v>
      </c>
      <c r="N58">
        <f>IF(tblWeeklyData[[#This Row],[IsHoliday]]="YES", holiday_rate_multiplier, IF(WEEKDAY(tblWeeklyData[[#This Row],[Date]], 2)=6, sat_rate_multiplier, IF(WEEKDAY(tblWeeklyData[[#This Row],[Date]], 2)=7, sun_rate_multiplier, 1))) * tblWeeklyData[[#This Row],[HourlyRate]]*tblWeeklyData[[#This Row],[WorkingHour]]</f>
        <v>160</v>
      </c>
      <c r="O58">
        <f>tblWeeklyData[[#This Row],[MaxHour]]/7</f>
        <v>5.7142857142857144</v>
      </c>
      <c r="P58">
        <f>IF(AND(tblWeeklyData[[#This Row],[HolidayOrWeekend]]="YES", tblWeeklyData[[#This Row],[WorkingHour]]&gt;0), 1, 0)</f>
        <v>0</v>
      </c>
    </row>
    <row r="59" spans="1:16" x14ac:dyDescent="0.45">
      <c r="A59" t="s">
        <v>57</v>
      </c>
      <c r="B59" t="s">
        <v>29</v>
      </c>
      <c r="C59" t="s">
        <v>29</v>
      </c>
      <c r="D59" t="s">
        <v>49</v>
      </c>
      <c r="E59">
        <v>20</v>
      </c>
      <c r="F59">
        <v>40</v>
      </c>
      <c r="G59" t="s">
        <v>65</v>
      </c>
      <c r="H59" t="s">
        <v>44</v>
      </c>
      <c r="I59" s="24">
        <f>INDEX(Schedule!$9:$9, MATCH(tblWeeklyData[[#This Row],[WeekDay]], tblSchedule[#Headers],0))</f>
        <v>46112</v>
      </c>
      <c r="J59" t="str">
        <f>IF(WEEKDAY(tblWeeklyData[[#This Row],[Date]], 2)&gt;=6, "YES", "NO")</f>
        <v>NO</v>
      </c>
      <c r="K59" t="str">
        <f>IF(NOT(ISERROR(MATCH(tblWeeklyData[[#This Row],[Date]], tblPublicHoliday[HOLIDAY], 0))), "YES", "NO")</f>
        <v>NO</v>
      </c>
      <c r="L59" t="str">
        <f>IF(OR(tblWeeklyData[[#This Row],[IsWeekend]]="YES", tblWeeklyData[[#This Row],[IsHoliday]]="YES"), "YES", "NO")</f>
        <v>NO</v>
      </c>
      <c r="M59">
        <f>INDEX(tblRefShift[Hour], MATCH(_xlfn.CONCAT(tblWeeklyData[[#This Row],[Role]],"_", tblWeeklyData[[#This Row],[ShiftCode]]), tblRefShift[ShiftID], 0))</f>
        <v>8</v>
      </c>
      <c r="N59">
        <f>IF(tblWeeklyData[[#This Row],[IsHoliday]]="YES", holiday_rate_multiplier, IF(WEEKDAY(tblWeeklyData[[#This Row],[Date]], 2)=6, sat_rate_multiplier, IF(WEEKDAY(tblWeeklyData[[#This Row],[Date]], 2)=7, sun_rate_multiplier, 1))) * tblWeeklyData[[#This Row],[HourlyRate]]*tblWeeklyData[[#This Row],[WorkingHour]]</f>
        <v>160</v>
      </c>
      <c r="O59">
        <f>tblWeeklyData[[#This Row],[MaxHour]]/7</f>
        <v>5.7142857142857144</v>
      </c>
      <c r="P59">
        <f>IF(AND(tblWeeklyData[[#This Row],[HolidayOrWeekend]]="YES", tblWeeklyData[[#This Row],[WorkingHour]]&gt;0), 1, 0)</f>
        <v>0</v>
      </c>
    </row>
    <row r="60" spans="1:16" x14ac:dyDescent="0.45">
      <c r="A60" t="s">
        <v>57</v>
      </c>
      <c r="B60" t="s">
        <v>29</v>
      </c>
      <c r="C60" t="s">
        <v>29</v>
      </c>
      <c r="D60" t="s">
        <v>49</v>
      </c>
      <c r="E60">
        <v>20</v>
      </c>
      <c r="F60">
        <v>40</v>
      </c>
      <c r="G60" t="s">
        <v>66</v>
      </c>
      <c r="H60" t="s">
        <v>44</v>
      </c>
      <c r="I60" s="24">
        <f>INDEX(Schedule!$9:$9, MATCH(tblWeeklyData[[#This Row],[WeekDay]], tblSchedule[#Headers],0))</f>
        <v>46113</v>
      </c>
      <c r="J60" t="str">
        <f>IF(WEEKDAY(tblWeeklyData[[#This Row],[Date]], 2)&gt;=6, "YES", "NO")</f>
        <v>NO</v>
      </c>
      <c r="K60" t="str">
        <f>IF(NOT(ISERROR(MATCH(tblWeeklyData[[#This Row],[Date]], tblPublicHoliday[HOLIDAY], 0))), "YES", "NO")</f>
        <v>NO</v>
      </c>
      <c r="L60" t="str">
        <f>IF(OR(tblWeeklyData[[#This Row],[IsWeekend]]="YES", tblWeeklyData[[#This Row],[IsHoliday]]="YES"), "YES", "NO")</f>
        <v>NO</v>
      </c>
      <c r="M60">
        <f>INDEX(tblRefShift[Hour], MATCH(_xlfn.CONCAT(tblWeeklyData[[#This Row],[Role]],"_", tblWeeklyData[[#This Row],[ShiftCode]]), tblRefShift[ShiftID], 0))</f>
        <v>8</v>
      </c>
      <c r="N60">
        <f>IF(tblWeeklyData[[#This Row],[IsHoliday]]="YES", holiday_rate_multiplier, IF(WEEKDAY(tblWeeklyData[[#This Row],[Date]], 2)=6, sat_rate_multiplier, IF(WEEKDAY(tblWeeklyData[[#This Row],[Date]], 2)=7, sun_rate_multiplier, 1))) * tblWeeklyData[[#This Row],[HourlyRate]]*tblWeeklyData[[#This Row],[WorkingHour]]</f>
        <v>160</v>
      </c>
      <c r="O60">
        <f>tblWeeklyData[[#This Row],[MaxHour]]/7</f>
        <v>5.7142857142857144</v>
      </c>
      <c r="P60">
        <f>IF(AND(tblWeeklyData[[#This Row],[HolidayOrWeekend]]="YES", tblWeeklyData[[#This Row],[WorkingHour]]&gt;0), 1, 0)</f>
        <v>0</v>
      </c>
    </row>
    <row r="61" spans="1:16" x14ac:dyDescent="0.45">
      <c r="A61" t="s">
        <v>57</v>
      </c>
      <c r="B61" t="s">
        <v>29</v>
      </c>
      <c r="C61" t="s">
        <v>29</v>
      </c>
      <c r="D61" t="s">
        <v>49</v>
      </c>
      <c r="E61">
        <v>20</v>
      </c>
      <c r="F61">
        <v>40</v>
      </c>
      <c r="G61" t="s">
        <v>67</v>
      </c>
      <c r="H61" t="s">
        <v>44</v>
      </c>
      <c r="I61" s="24">
        <f>INDEX(Schedule!$9:$9, MATCH(tblWeeklyData[[#This Row],[WeekDay]], tblSchedule[#Headers],0))</f>
        <v>46114</v>
      </c>
      <c r="J61" t="str">
        <f>IF(WEEKDAY(tblWeeklyData[[#This Row],[Date]], 2)&gt;=6, "YES", "NO")</f>
        <v>NO</v>
      </c>
      <c r="K61" t="str">
        <f>IF(NOT(ISERROR(MATCH(tblWeeklyData[[#This Row],[Date]], tblPublicHoliday[HOLIDAY], 0))), "YES", "NO")</f>
        <v>NO</v>
      </c>
      <c r="L61" t="str">
        <f>IF(OR(tblWeeklyData[[#This Row],[IsWeekend]]="YES", tblWeeklyData[[#This Row],[IsHoliday]]="YES"), "YES", "NO")</f>
        <v>NO</v>
      </c>
      <c r="M61">
        <f>INDEX(tblRefShift[Hour], MATCH(_xlfn.CONCAT(tblWeeklyData[[#This Row],[Role]],"_", tblWeeklyData[[#This Row],[ShiftCode]]), tblRefShift[ShiftID], 0))</f>
        <v>8</v>
      </c>
      <c r="N61">
        <f>IF(tblWeeklyData[[#This Row],[IsHoliday]]="YES", holiday_rate_multiplier, IF(WEEKDAY(tblWeeklyData[[#This Row],[Date]], 2)=6, sat_rate_multiplier, IF(WEEKDAY(tblWeeklyData[[#This Row],[Date]], 2)=7, sun_rate_multiplier, 1))) * tblWeeklyData[[#This Row],[HourlyRate]]*tblWeeklyData[[#This Row],[WorkingHour]]</f>
        <v>160</v>
      </c>
      <c r="O61">
        <f>tblWeeklyData[[#This Row],[MaxHour]]/7</f>
        <v>5.7142857142857144</v>
      </c>
      <c r="P61">
        <f>IF(AND(tblWeeklyData[[#This Row],[HolidayOrWeekend]]="YES", tblWeeklyData[[#This Row],[WorkingHour]]&gt;0), 1, 0)</f>
        <v>0</v>
      </c>
    </row>
    <row r="62" spans="1:16" x14ac:dyDescent="0.45">
      <c r="A62" t="s">
        <v>57</v>
      </c>
      <c r="B62" t="s">
        <v>29</v>
      </c>
      <c r="C62" t="s">
        <v>29</v>
      </c>
      <c r="D62" t="s">
        <v>49</v>
      </c>
      <c r="E62">
        <v>20</v>
      </c>
      <c r="F62">
        <v>40</v>
      </c>
      <c r="G62" t="s">
        <v>68</v>
      </c>
      <c r="H62" t="s">
        <v>41</v>
      </c>
      <c r="I62" s="24">
        <f>INDEX(Schedule!$9:$9, MATCH(tblWeeklyData[[#This Row],[WeekDay]], tblSchedule[#Headers],0))</f>
        <v>46115</v>
      </c>
      <c r="J62" t="str">
        <f>IF(WEEKDAY(tblWeeklyData[[#This Row],[Date]], 2)&gt;=6, "YES", "NO")</f>
        <v>NO</v>
      </c>
      <c r="K62" t="str">
        <f>IF(NOT(ISERROR(MATCH(tblWeeklyData[[#This Row],[Date]], tblPublicHoliday[HOLIDAY], 0))), "YES", "NO")</f>
        <v>NO</v>
      </c>
      <c r="L62" t="str">
        <f>IF(OR(tblWeeklyData[[#This Row],[IsWeekend]]="YES", tblWeeklyData[[#This Row],[IsHoliday]]="YES"), "YES", "NO")</f>
        <v>NO</v>
      </c>
      <c r="M62">
        <f>INDEX(tblRefShift[Hour], MATCH(_xlfn.CONCAT(tblWeeklyData[[#This Row],[Role]],"_", tblWeeklyData[[#This Row],[ShiftCode]]), tblRefShift[ShiftID], 0))</f>
        <v>0</v>
      </c>
      <c r="N62">
        <f>IF(tblWeeklyData[[#This Row],[IsHoliday]]="YES", holiday_rate_multiplier, IF(WEEKDAY(tblWeeklyData[[#This Row],[Date]], 2)=6, sat_rate_multiplier, IF(WEEKDAY(tblWeeklyData[[#This Row],[Date]], 2)=7, sun_rate_multiplier, 1))) * tblWeeklyData[[#This Row],[HourlyRate]]*tblWeeklyData[[#This Row],[WorkingHour]]</f>
        <v>0</v>
      </c>
      <c r="O62">
        <f>tblWeeklyData[[#This Row],[MaxHour]]/7</f>
        <v>5.7142857142857144</v>
      </c>
      <c r="P62">
        <f>IF(AND(tblWeeklyData[[#This Row],[HolidayOrWeekend]]="YES", tblWeeklyData[[#This Row],[WorkingHour]]&gt;0), 1, 0)</f>
        <v>0</v>
      </c>
    </row>
    <row r="63" spans="1:16" x14ac:dyDescent="0.45">
      <c r="A63" t="s">
        <v>57</v>
      </c>
      <c r="B63" t="s">
        <v>29</v>
      </c>
      <c r="C63" t="s">
        <v>29</v>
      </c>
      <c r="D63" t="s">
        <v>49</v>
      </c>
      <c r="E63">
        <v>20</v>
      </c>
      <c r="F63">
        <v>40</v>
      </c>
      <c r="G63" t="s">
        <v>69</v>
      </c>
      <c r="H63" t="s">
        <v>39</v>
      </c>
      <c r="I63" s="24">
        <f>INDEX(Schedule!$9:$9, MATCH(tblWeeklyData[[#This Row],[WeekDay]], tblSchedule[#Headers],0))</f>
        <v>46116</v>
      </c>
      <c r="J63" t="str">
        <f>IF(WEEKDAY(tblWeeklyData[[#This Row],[Date]], 2)&gt;=6, "YES", "NO")</f>
        <v>YES</v>
      </c>
      <c r="K63" t="str">
        <f>IF(NOT(ISERROR(MATCH(tblWeeklyData[[#This Row],[Date]], tblPublicHoliday[HOLIDAY], 0))), "YES", "NO")</f>
        <v>NO</v>
      </c>
      <c r="L63" t="str">
        <f>IF(OR(tblWeeklyData[[#This Row],[IsWeekend]]="YES", tblWeeklyData[[#This Row],[IsHoliday]]="YES"), "YES", "NO")</f>
        <v>YES</v>
      </c>
      <c r="M63">
        <f>INDEX(tblRefShift[Hour], MATCH(_xlfn.CONCAT(tblWeeklyData[[#This Row],[Role]],"_", tblWeeklyData[[#This Row],[ShiftCode]]), tblRefShift[ShiftID], 0))</f>
        <v>4.9999999999999982</v>
      </c>
      <c r="N63">
        <f>IF(tblWeeklyData[[#This Row],[IsHoliday]]="YES", holiday_rate_multiplier, IF(WEEKDAY(tblWeeklyData[[#This Row],[Date]], 2)=6, sat_rate_multiplier, IF(WEEKDAY(tblWeeklyData[[#This Row],[Date]], 2)=7, sun_rate_multiplier, 1))) * tblWeeklyData[[#This Row],[HourlyRate]]*tblWeeklyData[[#This Row],[WorkingHour]]</f>
        <v>149.99999999999994</v>
      </c>
      <c r="O63">
        <f>tblWeeklyData[[#This Row],[MaxHour]]/7</f>
        <v>5.7142857142857144</v>
      </c>
      <c r="P63">
        <f>IF(AND(tblWeeklyData[[#This Row],[HolidayOrWeekend]]="YES", tblWeeklyData[[#This Row],[WorkingHour]]&gt;0), 1, 0)</f>
        <v>1</v>
      </c>
    </row>
    <row r="64" spans="1:16" x14ac:dyDescent="0.45">
      <c r="A64" t="s">
        <v>57</v>
      </c>
      <c r="B64" t="s">
        <v>29</v>
      </c>
      <c r="C64" t="s">
        <v>29</v>
      </c>
      <c r="D64" t="s">
        <v>49</v>
      </c>
      <c r="E64">
        <v>20</v>
      </c>
      <c r="F64">
        <v>40</v>
      </c>
      <c r="G64" t="s">
        <v>70</v>
      </c>
      <c r="H64" t="s">
        <v>41</v>
      </c>
      <c r="I64" s="24">
        <f>INDEX(Schedule!$9:$9, MATCH(tblWeeklyData[[#This Row],[WeekDay]], tblSchedule[#Headers],0))</f>
        <v>46117</v>
      </c>
      <c r="J64" t="str">
        <f>IF(WEEKDAY(tblWeeklyData[[#This Row],[Date]], 2)&gt;=6, "YES", "NO")</f>
        <v>YES</v>
      </c>
      <c r="K64" t="str">
        <f>IF(NOT(ISERROR(MATCH(tblWeeklyData[[#This Row],[Date]], tblPublicHoliday[HOLIDAY], 0))), "YES", "NO")</f>
        <v>NO</v>
      </c>
      <c r="L64" t="str">
        <f>IF(OR(tblWeeklyData[[#This Row],[IsWeekend]]="YES", tblWeeklyData[[#This Row],[IsHoliday]]="YES"), "YES", "NO")</f>
        <v>YES</v>
      </c>
      <c r="M64">
        <f>INDEX(tblRefShift[Hour], MATCH(_xlfn.CONCAT(tblWeeklyData[[#This Row],[Role]],"_", tblWeeklyData[[#This Row],[ShiftCode]]), tblRefShift[ShiftID], 0))</f>
        <v>0</v>
      </c>
      <c r="N64">
        <f>IF(tblWeeklyData[[#This Row],[IsHoliday]]="YES", holiday_rate_multiplier, IF(WEEKDAY(tblWeeklyData[[#This Row],[Date]], 2)=6, sat_rate_multiplier, IF(WEEKDAY(tblWeeklyData[[#This Row],[Date]], 2)=7, sun_rate_multiplier, 1))) * tblWeeklyData[[#This Row],[HourlyRate]]*tblWeeklyData[[#This Row],[WorkingHour]]</f>
        <v>0</v>
      </c>
      <c r="O64">
        <f>tblWeeklyData[[#This Row],[MaxHour]]/7</f>
        <v>5.7142857142857144</v>
      </c>
      <c r="P64">
        <f>IF(AND(tblWeeklyData[[#This Row],[HolidayOrWeekend]]="YES", tblWeeklyData[[#This Row],[WorkingHour]]&gt;0), 1, 0)</f>
        <v>0</v>
      </c>
    </row>
    <row r="65" spans="1:16" x14ac:dyDescent="0.45">
      <c r="A65" t="s">
        <v>58</v>
      </c>
      <c r="B65" t="s">
        <v>29</v>
      </c>
      <c r="C65" t="s">
        <v>29</v>
      </c>
      <c r="D65" t="s">
        <v>49</v>
      </c>
      <c r="E65">
        <v>20</v>
      </c>
      <c r="F65">
        <v>40</v>
      </c>
      <c r="G65" t="s">
        <v>64</v>
      </c>
      <c r="H65" t="s">
        <v>41</v>
      </c>
      <c r="I65" s="24">
        <f>INDEX(Schedule!$9:$9, MATCH(tblWeeklyData[[#This Row],[WeekDay]], tblSchedule[#Headers],0))</f>
        <v>46111</v>
      </c>
      <c r="J65" t="str">
        <f>IF(WEEKDAY(tblWeeklyData[[#This Row],[Date]], 2)&gt;=6, "YES", "NO")</f>
        <v>NO</v>
      </c>
      <c r="K65" t="str">
        <f>IF(NOT(ISERROR(MATCH(tblWeeklyData[[#This Row],[Date]], tblPublicHoliday[HOLIDAY], 0))), "YES", "NO")</f>
        <v>NO</v>
      </c>
      <c r="L65" t="str">
        <f>IF(OR(tblWeeklyData[[#This Row],[IsWeekend]]="YES", tblWeeklyData[[#This Row],[IsHoliday]]="YES"), "YES", "NO")</f>
        <v>NO</v>
      </c>
      <c r="M65">
        <f>INDEX(tblRefShift[Hour], MATCH(_xlfn.CONCAT(tblWeeklyData[[#This Row],[Role]],"_", tblWeeklyData[[#This Row],[ShiftCode]]), tblRefShift[ShiftID], 0))</f>
        <v>0</v>
      </c>
      <c r="N65">
        <f>IF(tblWeeklyData[[#This Row],[IsHoliday]]="YES", holiday_rate_multiplier, IF(WEEKDAY(tblWeeklyData[[#This Row],[Date]], 2)=6, sat_rate_multiplier, IF(WEEKDAY(tblWeeklyData[[#This Row],[Date]], 2)=7, sun_rate_multiplier, 1))) * tblWeeklyData[[#This Row],[HourlyRate]]*tblWeeklyData[[#This Row],[WorkingHour]]</f>
        <v>0</v>
      </c>
      <c r="O65">
        <f>tblWeeklyData[[#This Row],[MaxHour]]/7</f>
        <v>5.7142857142857144</v>
      </c>
      <c r="P65">
        <f>IF(AND(tblWeeklyData[[#This Row],[HolidayOrWeekend]]="YES", tblWeeklyData[[#This Row],[WorkingHour]]&gt;0), 1, 0)</f>
        <v>0</v>
      </c>
    </row>
    <row r="66" spans="1:16" x14ac:dyDescent="0.45">
      <c r="A66" t="s">
        <v>58</v>
      </c>
      <c r="B66" t="s">
        <v>29</v>
      </c>
      <c r="C66" t="s">
        <v>29</v>
      </c>
      <c r="D66" t="s">
        <v>49</v>
      </c>
      <c r="E66">
        <v>20</v>
      </c>
      <c r="F66">
        <v>40</v>
      </c>
      <c r="G66" t="s">
        <v>65</v>
      </c>
      <c r="H66" t="s">
        <v>41</v>
      </c>
      <c r="I66" s="24">
        <f>INDEX(Schedule!$9:$9, MATCH(tblWeeklyData[[#This Row],[WeekDay]], tblSchedule[#Headers],0))</f>
        <v>46112</v>
      </c>
      <c r="J66" t="str">
        <f>IF(WEEKDAY(tblWeeklyData[[#This Row],[Date]], 2)&gt;=6, "YES", "NO")</f>
        <v>NO</v>
      </c>
      <c r="K66" t="str">
        <f>IF(NOT(ISERROR(MATCH(tblWeeklyData[[#This Row],[Date]], tblPublicHoliday[HOLIDAY], 0))), "YES", "NO")</f>
        <v>NO</v>
      </c>
      <c r="L66" t="str">
        <f>IF(OR(tblWeeklyData[[#This Row],[IsWeekend]]="YES", tblWeeklyData[[#This Row],[IsHoliday]]="YES"), "YES", "NO")</f>
        <v>NO</v>
      </c>
      <c r="M66">
        <f>INDEX(tblRefShift[Hour], MATCH(_xlfn.CONCAT(tblWeeklyData[[#This Row],[Role]],"_", tblWeeklyData[[#This Row],[ShiftCode]]), tblRefShift[ShiftID], 0))</f>
        <v>0</v>
      </c>
      <c r="N66">
        <f>IF(tblWeeklyData[[#This Row],[IsHoliday]]="YES", holiday_rate_multiplier, IF(WEEKDAY(tblWeeklyData[[#This Row],[Date]], 2)=6, sat_rate_multiplier, IF(WEEKDAY(tblWeeklyData[[#This Row],[Date]], 2)=7, sun_rate_multiplier, 1))) * tblWeeklyData[[#This Row],[HourlyRate]]*tblWeeklyData[[#This Row],[WorkingHour]]</f>
        <v>0</v>
      </c>
      <c r="O66">
        <f>tblWeeklyData[[#This Row],[MaxHour]]/7</f>
        <v>5.7142857142857144</v>
      </c>
      <c r="P66">
        <f>IF(AND(tblWeeklyData[[#This Row],[HolidayOrWeekend]]="YES", tblWeeklyData[[#This Row],[WorkingHour]]&gt;0), 1, 0)</f>
        <v>0</v>
      </c>
    </row>
    <row r="67" spans="1:16" x14ac:dyDescent="0.45">
      <c r="A67" t="s">
        <v>58</v>
      </c>
      <c r="B67" t="s">
        <v>29</v>
      </c>
      <c r="C67" t="s">
        <v>29</v>
      </c>
      <c r="D67" t="s">
        <v>49</v>
      </c>
      <c r="E67">
        <v>20</v>
      </c>
      <c r="F67">
        <v>40</v>
      </c>
      <c r="G67" t="s">
        <v>66</v>
      </c>
      <c r="H67" t="s">
        <v>41</v>
      </c>
      <c r="I67" s="24">
        <f>INDEX(Schedule!$9:$9, MATCH(tblWeeklyData[[#This Row],[WeekDay]], tblSchedule[#Headers],0))</f>
        <v>46113</v>
      </c>
      <c r="J67" t="str">
        <f>IF(WEEKDAY(tblWeeklyData[[#This Row],[Date]], 2)&gt;=6, "YES", "NO")</f>
        <v>NO</v>
      </c>
      <c r="K67" t="str">
        <f>IF(NOT(ISERROR(MATCH(tblWeeklyData[[#This Row],[Date]], tblPublicHoliday[HOLIDAY], 0))), "YES", "NO")</f>
        <v>NO</v>
      </c>
      <c r="L67" t="str">
        <f>IF(OR(tblWeeklyData[[#This Row],[IsWeekend]]="YES", tblWeeklyData[[#This Row],[IsHoliday]]="YES"), "YES", "NO")</f>
        <v>NO</v>
      </c>
      <c r="M67">
        <f>INDEX(tblRefShift[Hour], MATCH(_xlfn.CONCAT(tblWeeklyData[[#This Row],[Role]],"_", tblWeeklyData[[#This Row],[ShiftCode]]), tblRefShift[ShiftID], 0))</f>
        <v>0</v>
      </c>
      <c r="N67">
        <f>IF(tblWeeklyData[[#This Row],[IsHoliday]]="YES", holiday_rate_multiplier, IF(WEEKDAY(tblWeeklyData[[#This Row],[Date]], 2)=6, sat_rate_multiplier, IF(WEEKDAY(tblWeeklyData[[#This Row],[Date]], 2)=7, sun_rate_multiplier, 1))) * tblWeeklyData[[#This Row],[HourlyRate]]*tblWeeklyData[[#This Row],[WorkingHour]]</f>
        <v>0</v>
      </c>
      <c r="O67">
        <f>tblWeeklyData[[#This Row],[MaxHour]]/7</f>
        <v>5.7142857142857144</v>
      </c>
      <c r="P67">
        <f>IF(AND(tblWeeklyData[[#This Row],[HolidayOrWeekend]]="YES", tblWeeklyData[[#This Row],[WorkingHour]]&gt;0), 1, 0)</f>
        <v>0</v>
      </c>
    </row>
    <row r="68" spans="1:16" x14ac:dyDescent="0.45">
      <c r="A68" t="s">
        <v>58</v>
      </c>
      <c r="B68" t="s">
        <v>29</v>
      </c>
      <c r="C68" t="s">
        <v>29</v>
      </c>
      <c r="D68" t="s">
        <v>49</v>
      </c>
      <c r="E68">
        <v>20</v>
      </c>
      <c r="F68">
        <v>40</v>
      </c>
      <c r="G68" t="s">
        <v>67</v>
      </c>
      <c r="H68" t="s">
        <v>44</v>
      </c>
      <c r="I68" s="24">
        <f>INDEX(Schedule!$9:$9, MATCH(tblWeeklyData[[#This Row],[WeekDay]], tblSchedule[#Headers],0))</f>
        <v>46114</v>
      </c>
      <c r="J68" t="str">
        <f>IF(WEEKDAY(tblWeeklyData[[#This Row],[Date]], 2)&gt;=6, "YES", "NO")</f>
        <v>NO</v>
      </c>
      <c r="K68" t="str">
        <f>IF(NOT(ISERROR(MATCH(tblWeeklyData[[#This Row],[Date]], tblPublicHoliday[HOLIDAY], 0))), "YES", "NO")</f>
        <v>NO</v>
      </c>
      <c r="L68" t="str">
        <f>IF(OR(tblWeeklyData[[#This Row],[IsWeekend]]="YES", tblWeeklyData[[#This Row],[IsHoliday]]="YES"), "YES", "NO")</f>
        <v>NO</v>
      </c>
      <c r="M68">
        <f>INDEX(tblRefShift[Hour], MATCH(_xlfn.CONCAT(tblWeeklyData[[#This Row],[Role]],"_", tblWeeklyData[[#This Row],[ShiftCode]]), tblRefShift[ShiftID], 0))</f>
        <v>8</v>
      </c>
      <c r="N68">
        <f>IF(tblWeeklyData[[#This Row],[IsHoliday]]="YES", holiday_rate_multiplier, IF(WEEKDAY(tblWeeklyData[[#This Row],[Date]], 2)=6, sat_rate_multiplier, IF(WEEKDAY(tblWeeklyData[[#This Row],[Date]], 2)=7, sun_rate_multiplier, 1))) * tblWeeklyData[[#This Row],[HourlyRate]]*tblWeeklyData[[#This Row],[WorkingHour]]</f>
        <v>160</v>
      </c>
      <c r="O68">
        <f>tblWeeklyData[[#This Row],[MaxHour]]/7</f>
        <v>5.7142857142857144</v>
      </c>
      <c r="P68">
        <f>IF(AND(tblWeeklyData[[#This Row],[HolidayOrWeekend]]="YES", tblWeeklyData[[#This Row],[WorkingHour]]&gt;0), 1, 0)</f>
        <v>0</v>
      </c>
    </row>
    <row r="69" spans="1:16" x14ac:dyDescent="0.45">
      <c r="A69" t="s">
        <v>58</v>
      </c>
      <c r="B69" t="s">
        <v>29</v>
      </c>
      <c r="C69" t="s">
        <v>29</v>
      </c>
      <c r="D69" t="s">
        <v>49</v>
      </c>
      <c r="E69">
        <v>20</v>
      </c>
      <c r="F69">
        <v>40</v>
      </c>
      <c r="G69" t="s">
        <v>68</v>
      </c>
      <c r="H69" t="s">
        <v>46</v>
      </c>
      <c r="I69" s="24">
        <f>INDEX(Schedule!$9:$9, MATCH(tblWeeklyData[[#This Row],[WeekDay]], tblSchedule[#Headers],0))</f>
        <v>46115</v>
      </c>
      <c r="J69" t="str">
        <f>IF(WEEKDAY(tblWeeklyData[[#This Row],[Date]], 2)&gt;=6, "YES", "NO")</f>
        <v>NO</v>
      </c>
      <c r="K69" t="str">
        <f>IF(NOT(ISERROR(MATCH(tblWeeklyData[[#This Row],[Date]], tblPublicHoliday[HOLIDAY], 0))), "YES", "NO")</f>
        <v>NO</v>
      </c>
      <c r="L69" t="str">
        <f>IF(OR(tblWeeklyData[[#This Row],[IsWeekend]]="YES", tblWeeklyData[[#This Row],[IsHoliday]]="YES"), "YES", "NO")</f>
        <v>NO</v>
      </c>
      <c r="M69">
        <f>INDEX(tblRefShift[Hour], MATCH(_xlfn.CONCAT(tblWeeklyData[[#This Row],[Role]],"_", tblWeeklyData[[#This Row],[ShiftCode]]), tblRefShift[ShiftID], 0))</f>
        <v>4.9999999999999982</v>
      </c>
      <c r="N69">
        <f>IF(tblWeeklyData[[#This Row],[IsHoliday]]="YES", holiday_rate_multiplier, IF(WEEKDAY(tblWeeklyData[[#This Row],[Date]], 2)=6, sat_rate_multiplier, IF(WEEKDAY(tblWeeklyData[[#This Row],[Date]], 2)=7, sun_rate_multiplier, 1))) * tblWeeklyData[[#This Row],[HourlyRate]]*tblWeeklyData[[#This Row],[WorkingHour]]</f>
        <v>99.999999999999972</v>
      </c>
      <c r="O69">
        <f>tblWeeklyData[[#This Row],[MaxHour]]/7</f>
        <v>5.7142857142857144</v>
      </c>
      <c r="P69">
        <f>IF(AND(tblWeeklyData[[#This Row],[HolidayOrWeekend]]="YES", tblWeeklyData[[#This Row],[WorkingHour]]&gt;0), 1, 0)</f>
        <v>0</v>
      </c>
    </row>
    <row r="70" spans="1:16" x14ac:dyDescent="0.45">
      <c r="A70" t="s">
        <v>58</v>
      </c>
      <c r="B70" t="s">
        <v>29</v>
      </c>
      <c r="C70" t="s">
        <v>29</v>
      </c>
      <c r="D70" t="s">
        <v>49</v>
      </c>
      <c r="E70">
        <v>20</v>
      </c>
      <c r="F70">
        <v>40</v>
      </c>
      <c r="G70" t="s">
        <v>69</v>
      </c>
      <c r="H70" t="s">
        <v>44</v>
      </c>
      <c r="I70" s="24">
        <f>INDEX(Schedule!$9:$9, MATCH(tblWeeklyData[[#This Row],[WeekDay]], tblSchedule[#Headers],0))</f>
        <v>46116</v>
      </c>
      <c r="J70" t="str">
        <f>IF(WEEKDAY(tblWeeklyData[[#This Row],[Date]], 2)&gt;=6, "YES", "NO")</f>
        <v>YES</v>
      </c>
      <c r="K70" t="str">
        <f>IF(NOT(ISERROR(MATCH(tblWeeklyData[[#This Row],[Date]], tblPublicHoliday[HOLIDAY], 0))), "YES", "NO")</f>
        <v>NO</v>
      </c>
      <c r="L70" t="str">
        <f>IF(OR(tblWeeklyData[[#This Row],[IsWeekend]]="YES", tblWeeklyData[[#This Row],[IsHoliday]]="YES"), "YES", "NO")</f>
        <v>YES</v>
      </c>
      <c r="M70">
        <f>INDEX(tblRefShift[Hour], MATCH(_xlfn.CONCAT(tblWeeklyData[[#This Row],[Role]],"_", tblWeeklyData[[#This Row],[ShiftCode]]), tblRefShift[ShiftID], 0))</f>
        <v>8</v>
      </c>
      <c r="N70">
        <f>IF(tblWeeklyData[[#This Row],[IsHoliday]]="YES", holiday_rate_multiplier, IF(WEEKDAY(tblWeeklyData[[#This Row],[Date]], 2)=6, sat_rate_multiplier, IF(WEEKDAY(tblWeeklyData[[#This Row],[Date]], 2)=7, sun_rate_multiplier, 1))) * tblWeeklyData[[#This Row],[HourlyRate]]*tblWeeklyData[[#This Row],[WorkingHour]]</f>
        <v>240</v>
      </c>
      <c r="O70">
        <f>tblWeeklyData[[#This Row],[MaxHour]]/7</f>
        <v>5.7142857142857144</v>
      </c>
      <c r="P70">
        <f>IF(AND(tblWeeklyData[[#This Row],[HolidayOrWeekend]]="YES", tblWeeklyData[[#This Row],[WorkingHour]]&gt;0), 1, 0)</f>
        <v>1</v>
      </c>
    </row>
    <row r="71" spans="1:16" x14ac:dyDescent="0.45">
      <c r="A71" t="s">
        <v>58</v>
      </c>
      <c r="B71" t="s">
        <v>29</v>
      </c>
      <c r="C71" t="s">
        <v>29</v>
      </c>
      <c r="D71" t="s">
        <v>49</v>
      </c>
      <c r="E71">
        <v>20</v>
      </c>
      <c r="F71">
        <v>40</v>
      </c>
      <c r="G71" t="s">
        <v>70</v>
      </c>
      <c r="H71" t="s">
        <v>44</v>
      </c>
      <c r="I71" s="24">
        <f>INDEX(Schedule!$9:$9, MATCH(tblWeeklyData[[#This Row],[WeekDay]], tblSchedule[#Headers],0))</f>
        <v>46117</v>
      </c>
      <c r="J71" t="str">
        <f>IF(WEEKDAY(tblWeeklyData[[#This Row],[Date]], 2)&gt;=6, "YES", "NO")</f>
        <v>YES</v>
      </c>
      <c r="K71" t="str">
        <f>IF(NOT(ISERROR(MATCH(tblWeeklyData[[#This Row],[Date]], tblPublicHoliday[HOLIDAY], 0))), "YES", "NO")</f>
        <v>NO</v>
      </c>
      <c r="L71" t="str">
        <f>IF(OR(tblWeeklyData[[#This Row],[IsWeekend]]="YES", tblWeeklyData[[#This Row],[IsHoliday]]="YES"), "YES", "NO")</f>
        <v>YES</v>
      </c>
      <c r="M71">
        <f>INDEX(tblRefShift[Hour], MATCH(_xlfn.CONCAT(tblWeeklyData[[#This Row],[Role]],"_", tblWeeklyData[[#This Row],[ShiftCode]]), tblRefShift[ShiftID], 0))</f>
        <v>8</v>
      </c>
      <c r="N71">
        <f>IF(tblWeeklyData[[#This Row],[IsHoliday]]="YES", holiday_rate_multiplier, IF(WEEKDAY(tblWeeklyData[[#This Row],[Date]], 2)=6, sat_rate_multiplier, IF(WEEKDAY(tblWeeklyData[[#This Row],[Date]], 2)=7, sun_rate_multiplier, 1))) * tblWeeklyData[[#This Row],[HourlyRate]]*tblWeeklyData[[#This Row],[WorkingHour]]</f>
        <v>240</v>
      </c>
      <c r="O71">
        <f>tblWeeklyData[[#This Row],[MaxHour]]/7</f>
        <v>5.7142857142857144</v>
      </c>
      <c r="P71">
        <f>IF(AND(tblWeeklyData[[#This Row],[HolidayOrWeekend]]="YES", tblWeeklyData[[#This Row],[WorkingHour]]&gt;0), 1, 0)</f>
        <v>1</v>
      </c>
    </row>
    <row r="72" spans="1:16" x14ac:dyDescent="0.45">
      <c r="A72" t="s">
        <v>59</v>
      </c>
      <c r="B72" t="s">
        <v>29</v>
      </c>
      <c r="C72" t="s">
        <v>29</v>
      </c>
      <c r="D72" t="s">
        <v>60</v>
      </c>
      <c r="E72">
        <v>15</v>
      </c>
      <c r="F72">
        <v>20</v>
      </c>
      <c r="G72" t="s">
        <v>64</v>
      </c>
      <c r="H72" t="s">
        <v>41</v>
      </c>
      <c r="I72" s="24">
        <f>INDEX(Schedule!$9:$9, MATCH(tblWeeklyData[[#This Row],[WeekDay]], tblSchedule[#Headers],0))</f>
        <v>46111</v>
      </c>
      <c r="J72" t="str">
        <f>IF(WEEKDAY(tblWeeklyData[[#This Row],[Date]], 2)&gt;=6, "YES", "NO")</f>
        <v>NO</v>
      </c>
      <c r="K72" t="str">
        <f>IF(NOT(ISERROR(MATCH(tblWeeklyData[[#This Row],[Date]], tblPublicHoliday[HOLIDAY], 0))), "YES", "NO")</f>
        <v>NO</v>
      </c>
      <c r="L72" t="str">
        <f>IF(OR(tblWeeklyData[[#This Row],[IsWeekend]]="YES", tblWeeklyData[[#This Row],[IsHoliday]]="YES"), "YES", "NO")</f>
        <v>NO</v>
      </c>
      <c r="M72">
        <f>INDEX(tblRefShift[Hour], MATCH(_xlfn.CONCAT(tblWeeklyData[[#This Row],[Role]],"_", tblWeeklyData[[#This Row],[ShiftCode]]), tblRefShift[ShiftID], 0))</f>
        <v>0</v>
      </c>
      <c r="N72">
        <f>IF(tblWeeklyData[[#This Row],[IsHoliday]]="YES", holiday_rate_multiplier, IF(WEEKDAY(tblWeeklyData[[#This Row],[Date]], 2)=6, sat_rate_multiplier, IF(WEEKDAY(tblWeeklyData[[#This Row],[Date]], 2)=7, sun_rate_multiplier, 1))) * tblWeeklyData[[#This Row],[HourlyRate]]*tblWeeklyData[[#This Row],[WorkingHour]]</f>
        <v>0</v>
      </c>
      <c r="O72">
        <f>tblWeeklyData[[#This Row],[MaxHour]]/7</f>
        <v>2.8571428571428572</v>
      </c>
      <c r="P72">
        <f>IF(AND(tblWeeklyData[[#This Row],[HolidayOrWeekend]]="YES", tblWeeklyData[[#This Row],[WorkingHour]]&gt;0), 1, 0)</f>
        <v>0</v>
      </c>
    </row>
    <row r="73" spans="1:16" x14ac:dyDescent="0.45">
      <c r="A73" t="s">
        <v>59</v>
      </c>
      <c r="B73" t="s">
        <v>29</v>
      </c>
      <c r="C73" t="s">
        <v>29</v>
      </c>
      <c r="D73" t="s">
        <v>60</v>
      </c>
      <c r="E73">
        <v>15</v>
      </c>
      <c r="F73">
        <v>20</v>
      </c>
      <c r="G73" t="s">
        <v>65</v>
      </c>
      <c r="H73" t="s">
        <v>46</v>
      </c>
      <c r="I73" s="24">
        <f>INDEX(Schedule!$9:$9, MATCH(tblWeeklyData[[#This Row],[WeekDay]], tblSchedule[#Headers],0))</f>
        <v>46112</v>
      </c>
      <c r="J73" t="str">
        <f>IF(WEEKDAY(tblWeeklyData[[#This Row],[Date]], 2)&gt;=6, "YES", "NO")</f>
        <v>NO</v>
      </c>
      <c r="K73" t="str">
        <f>IF(NOT(ISERROR(MATCH(tblWeeklyData[[#This Row],[Date]], tblPublicHoliday[HOLIDAY], 0))), "YES", "NO")</f>
        <v>NO</v>
      </c>
      <c r="L73" t="str">
        <f>IF(OR(tblWeeklyData[[#This Row],[IsWeekend]]="YES", tblWeeklyData[[#This Row],[IsHoliday]]="YES"), "YES", "NO")</f>
        <v>NO</v>
      </c>
      <c r="M73">
        <f>INDEX(tblRefShift[Hour], MATCH(_xlfn.CONCAT(tblWeeklyData[[#This Row],[Role]],"_", tblWeeklyData[[#This Row],[ShiftCode]]), tblRefShift[ShiftID], 0))</f>
        <v>4.9999999999999982</v>
      </c>
      <c r="N73">
        <f>IF(tblWeeklyData[[#This Row],[IsHoliday]]="YES", holiday_rate_multiplier, IF(WEEKDAY(tblWeeklyData[[#This Row],[Date]], 2)=6, sat_rate_multiplier, IF(WEEKDAY(tblWeeklyData[[#This Row],[Date]], 2)=7, sun_rate_multiplier, 1))) * tblWeeklyData[[#This Row],[HourlyRate]]*tblWeeklyData[[#This Row],[WorkingHour]]</f>
        <v>74.999999999999972</v>
      </c>
      <c r="O73">
        <f>tblWeeklyData[[#This Row],[MaxHour]]/7</f>
        <v>2.8571428571428572</v>
      </c>
      <c r="P73">
        <f>IF(AND(tblWeeklyData[[#This Row],[HolidayOrWeekend]]="YES", tblWeeklyData[[#This Row],[WorkingHour]]&gt;0), 1, 0)</f>
        <v>0</v>
      </c>
    </row>
    <row r="74" spans="1:16" x14ac:dyDescent="0.45">
      <c r="A74" t="s">
        <v>59</v>
      </c>
      <c r="B74" t="s">
        <v>29</v>
      </c>
      <c r="C74" t="s">
        <v>29</v>
      </c>
      <c r="D74" t="s">
        <v>60</v>
      </c>
      <c r="E74">
        <v>15</v>
      </c>
      <c r="F74">
        <v>20</v>
      </c>
      <c r="G74" t="s">
        <v>66</v>
      </c>
      <c r="H74" t="s">
        <v>46</v>
      </c>
      <c r="I74" s="24">
        <f>INDEX(Schedule!$9:$9, MATCH(tblWeeklyData[[#This Row],[WeekDay]], tblSchedule[#Headers],0))</f>
        <v>46113</v>
      </c>
      <c r="J74" t="str">
        <f>IF(WEEKDAY(tblWeeklyData[[#This Row],[Date]], 2)&gt;=6, "YES", "NO")</f>
        <v>NO</v>
      </c>
      <c r="K74" t="str">
        <f>IF(NOT(ISERROR(MATCH(tblWeeklyData[[#This Row],[Date]], tblPublicHoliday[HOLIDAY], 0))), "YES", "NO")</f>
        <v>NO</v>
      </c>
      <c r="L74" t="str">
        <f>IF(OR(tblWeeklyData[[#This Row],[IsWeekend]]="YES", tblWeeklyData[[#This Row],[IsHoliday]]="YES"), "YES", "NO")</f>
        <v>NO</v>
      </c>
      <c r="M74">
        <f>INDEX(tblRefShift[Hour], MATCH(_xlfn.CONCAT(tblWeeklyData[[#This Row],[Role]],"_", tblWeeklyData[[#This Row],[ShiftCode]]), tblRefShift[ShiftID], 0))</f>
        <v>4.9999999999999982</v>
      </c>
      <c r="N74">
        <f>IF(tblWeeklyData[[#This Row],[IsHoliday]]="YES", holiday_rate_multiplier, IF(WEEKDAY(tblWeeklyData[[#This Row],[Date]], 2)=6, sat_rate_multiplier, IF(WEEKDAY(tblWeeklyData[[#This Row],[Date]], 2)=7, sun_rate_multiplier, 1))) * tblWeeklyData[[#This Row],[HourlyRate]]*tblWeeklyData[[#This Row],[WorkingHour]]</f>
        <v>74.999999999999972</v>
      </c>
      <c r="O74">
        <f>tblWeeklyData[[#This Row],[MaxHour]]/7</f>
        <v>2.8571428571428572</v>
      </c>
      <c r="P74">
        <f>IF(AND(tblWeeklyData[[#This Row],[HolidayOrWeekend]]="YES", tblWeeklyData[[#This Row],[WorkingHour]]&gt;0), 1, 0)</f>
        <v>0</v>
      </c>
    </row>
    <row r="75" spans="1:16" x14ac:dyDescent="0.45">
      <c r="A75" t="s">
        <v>59</v>
      </c>
      <c r="B75" t="s">
        <v>29</v>
      </c>
      <c r="C75" t="s">
        <v>29</v>
      </c>
      <c r="D75" t="s">
        <v>60</v>
      </c>
      <c r="E75">
        <v>15</v>
      </c>
      <c r="F75">
        <v>20</v>
      </c>
      <c r="G75" t="s">
        <v>67</v>
      </c>
      <c r="H75" t="s">
        <v>46</v>
      </c>
      <c r="I75" s="24">
        <f>INDEX(Schedule!$9:$9, MATCH(tblWeeklyData[[#This Row],[WeekDay]], tblSchedule[#Headers],0))</f>
        <v>46114</v>
      </c>
      <c r="J75" t="str">
        <f>IF(WEEKDAY(tblWeeklyData[[#This Row],[Date]], 2)&gt;=6, "YES", "NO")</f>
        <v>NO</v>
      </c>
      <c r="K75" t="str">
        <f>IF(NOT(ISERROR(MATCH(tblWeeklyData[[#This Row],[Date]], tblPublicHoliday[HOLIDAY], 0))), "YES", "NO")</f>
        <v>NO</v>
      </c>
      <c r="L75" t="str">
        <f>IF(OR(tblWeeklyData[[#This Row],[IsWeekend]]="YES", tblWeeklyData[[#This Row],[IsHoliday]]="YES"), "YES", "NO")</f>
        <v>NO</v>
      </c>
      <c r="M75">
        <f>INDEX(tblRefShift[Hour], MATCH(_xlfn.CONCAT(tblWeeklyData[[#This Row],[Role]],"_", tblWeeklyData[[#This Row],[ShiftCode]]), tblRefShift[ShiftID], 0))</f>
        <v>4.9999999999999982</v>
      </c>
      <c r="N75">
        <f>IF(tblWeeklyData[[#This Row],[IsHoliday]]="YES", holiday_rate_multiplier, IF(WEEKDAY(tblWeeklyData[[#This Row],[Date]], 2)=6, sat_rate_multiplier, IF(WEEKDAY(tblWeeklyData[[#This Row],[Date]], 2)=7, sun_rate_multiplier, 1))) * tblWeeklyData[[#This Row],[HourlyRate]]*tblWeeklyData[[#This Row],[WorkingHour]]</f>
        <v>74.999999999999972</v>
      </c>
      <c r="O75">
        <f>tblWeeklyData[[#This Row],[MaxHour]]/7</f>
        <v>2.8571428571428572</v>
      </c>
      <c r="P75">
        <f>IF(AND(tblWeeklyData[[#This Row],[HolidayOrWeekend]]="YES", tblWeeklyData[[#This Row],[WorkingHour]]&gt;0), 1, 0)</f>
        <v>0</v>
      </c>
    </row>
    <row r="76" spans="1:16" x14ac:dyDescent="0.45">
      <c r="A76" t="s">
        <v>59</v>
      </c>
      <c r="B76" t="s">
        <v>29</v>
      </c>
      <c r="C76" t="s">
        <v>29</v>
      </c>
      <c r="D76" t="s">
        <v>60</v>
      </c>
      <c r="E76">
        <v>15</v>
      </c>
      <c r="F76">
        <v>20</v>
      </c>
      <c r="G76" t="s">
        <v>68</v>
      </c>
      <c r="H76" t="s">
        <v>46</v>
      </c>
      <c r="I76" s="24">
        <f>INDEX(Schedule!$9:$9, MATCH(tblWeeklyData[[#This Row],[WeekDay]], tblSchedule[#Headers],0))</f>
        <v>46115</v>
      </c>
      <c r="J76" t="str">
        <f>IF(WEEKDAY(tblWeeklyData[[#This Row],[Date]], 2)&gt;=6, "YES", "NO")</f>
        <v>NO</v>
      </c>
      <c r="K76" t="str">
        <f>IF(NOT(ISERROR(MATCH(tblWeeklyData[[#This Row],[Date]], tblPublicHoliday[HOLIDAY], 0))), "YES", "NO")</f>
        <v>NO</v>
      </c>
      <c r="L76" t="str">
        <f>IF(OR(tblWeeklyData[[#This Row],[IsWeekend]]="YES", tblWeeklyData[[#This Row],[IsHoliday]]="YES"), "YES", "NO")</f>
        <v>NO</v>
      </c>
      <c r="M76">
        <f>INDEX(tblRefShift[Hour], MATCH(_xlfn.CONCAT(tblWeeklyData[[#This Row],[Role]],"_", tblWeeklyData[[#This Row],[ShiftCode]]), tblRefShift[ShiftID], 0))</f>
        <v>4.9999999999999982</v>
      </c>
      <c r="N76">
        <f>IF(tblWeeklyData[[#This Row],[IsHoliday]]="YES", holiday_rate_multiplier, IF(WEEKDAY(tblWeeklyData[[#This Row],[Date]], 2)=6, sat_rate_multiplier, IF(WEEKDAY(tblWeeklyData[[#This Row],[Date]], 2)=7, sun_rate_multiplier, 1))) * tblWeeklyData[[#This Row],[HourlyRate]]*tblWeeklyData[[#This Row],[WorkingHour]]</f>
        <v>74.999999999999972</v>
      </c>
      <c r="O76">
        <f>tblWeeklyData[[#This Row],[MaxHour]]/7</f>
        <v>2.8571428571428572</v>
      </c>
      <c r="P76">
        <f>IF(AND(tblWeeklyData[[#This Row],[HolidayOrWeekend]]="YES", tblWeeklyData[[#This Row],[WorkingHour]]&gt;0), 1, 0)</f>
        <v>0</v>
      </c>
    </row>
    <row r="77" spans="1:16" x14ac:dyDescent="0.45">
      <c r="A77" t="s">
        <v>59</v>
      </c>
      <c r="B77" t="s">
        <v>29</v>
      </c>
      <c r="C77" t="s">
        <v>29</v>
      </c>
      <c r="D77" t="s">
        <v>60</v>
      </c>
      <c r="E77">
        <v>15</v>
      </c>
      <c r="F77">
        <v>20</v>
      </c>
      <c r="G77" t="s">
        <v>69</v>
      </c>
      <c r="H77" t="s">
        <v>46</v>
      </c>
      <c r="I77" s="24">
        <f>INDEX(Schedule!$9:$9, MATCH(tblWeeklyData[[#This Row],[WeekDay]], tblSchedule[#Headers],0))</f>
        <v>46116</v>
      </c>
      <c r="J77" t="str">
        <f>IF(WEEKDAY(tblWeeklyData[[#This Row],[Date]], 2)&gt;=6, "YES", "NO")</f>
        <v>YES</v>
      </c>
      <c r="K77" t="str">
        <f>IF(NOT(ISERROR(MATCH(tblWeeklyData[[#This Row],[Date]], tblPublicHoliday[HOLIDAY], 0))), "YES", "NO")</f>
        <v>NO</v>
      </c>
      <c r="L77" t="str">
        <f>IF(OR(tblWeeklyData[[#This Row],[IsWeekend]]="YES", tblWeeklyData[[#This Row],[IsHoliday]]="YES"), "YES", "NO")</f>
        <v>YES</v>
      </c>
      <c r="M77">
        <f>INDEX(tblRefShift[Hour], MATCH(_xlfn.CONCAT(tblWeeklyData[[#This Row],[Role]],"_", tblWeeklyData[[#This Row],[ShiftCode]]), tblRefShift[ShiftID], 0))</f>
        <v>4.9999999999999982</v>
      </c>
      <c r="N77">
        <f>IF(tblWeeklyData[[#This Row],[IsHoliday]]="YES", holiday_rate_multiplier, IF(WEEKDAY(tblWeeklyData[[#This Row],[Date]], 2)=6, sat_rate_multiplier, IF(WEEKDAY(tblWeeklyData[[#This Row],[Date]], 2)=7, sun_rate_multiplier, 1))) * tblWeeklyData[[#This Row],[HourlyRate]]*tblWeeklyData[[#This Row],[WorkingHour]]</f>
        <v>112.49999999999996</v>
      </c>
      <c r="O77">
        <f>tblWeeklyData[[#This Row],[MaxHour]]/7</f>
        <v>2.8571428571428572</v>
      </c>
      <c r="P77">
        <f>IF(AND(tblWeeklyData[[#This Row],[HolidayOrWeekend]]="YES", tblWeeklyData[[#This Row],[WorkingHour]]&gt;0), 1, 0)</f>
        <v>1</v>
      </c>
    </row>
    <row r="78" spans="1:16" x14ac:dyDescent="0.45">
      <c r="A78" t="s">
        <v>59</v>
      </c>
      <c r="B78" t="s">
        <v>29</v>
      </c>
      <c r="C78" t="s">
        <v>29</v>
      </c>
      <c r="D78" t="s">
        <v>60</v>
      </c>
      <c r="E78">
        <v>15</v>
      </c>
      <c r="F78">
        <v>20</v>
      </c>
      <c r="G78" t="s">
        <v>70</v>
      </c>
      <c r="H78" t="s">
        <v>41</v>
      </c>
      <c r="I78" s="24">
        <f>INDEX(Schedule!$9:$9, MATCH(tblWeeklyData[[#This Row],[WeekDay]], tblSchedule[#Headers],0))</f>
        <v>46117</v>
      </c>
      <c r="J78" t="str">
        <f>IF(WEEKDAY(tblWeeklyData[[#This Row],[Date]], 2)&gt;=6, "YES", "NO")</f>
        <v>YES</v>
      </c>
      <c r="K78" t="str">
        <f>IF(NOT(ISERROR(MATCH(tblWeeklyData[[#This Row],[Date]], tblPublicHoliday[HOLIDAY], 0))), "YES", "NO")</f>
        <v>NO</v>
      </c>
      <c r="L78" t="str">
        <f>IF(OR(tblWeeklyData[[#This Row],[IsWeekend]]="YES", tblWeeklyData[[#This Row],[IsHoliday]]="YES"), "YES", "NO")</f>
        <v>YES</v>
      </c>
      <c r="M78">
        <f>INDEX(tblRefShift[Hour], MATCH(_xlfn.CONCAT(tblWeeklyData[[#This Row],[Role]],"_", tblWeeklyData[[#This Row],[ShiftCode]]), tblRefShift[ShiftID], 0))</f>
        <v>0</v>
      </c>
      <c r="N78">
        <f>IF(tblWeeklyData[[#This Row],[IsHoliday]]="YES", holiday_rate_multiplier, IF(WEEKDAY(tblWeeklyData[[#This Row],[Date]], 2)=6, sat_rate_multiplier, IF(WEEKDAY(tblWeeklyData[[#This Row],[Date]], 2)=7, sun_rate_multiplier, 1))) * tblWeeklyData[[#This Row],[HourlyRate]]*tblWeeklyData[[#This Row],[WorkingHour]]</f>
        <v>0</v>
      </c>
      <c r="O78">
        <f>tblWeeklyData[[#This Row],[MaxHour]]/7</f>
        <v>2.8571428571428572</v>
      </c>
      <c r="P78">
        <f>IF(AND(tblWeeklyData[[#This Row],[HolidayOrWeekend]]="YES", tblWeeklyData[[#This Row],[WorkingHour]]&gt;0), 1, 0)</f>
        <v>0</v>
      </c>
    </row>
    <row r="79" spans="1:16" x14ac:dyDescent="0.45">
      <c r="A79" t="s">
        <v>61</v>
      </c>
      <c r="B79" t="s">
        <v>29</v>
      </c>
      <c r="C79" t="s">
        <v>29</v>
      </c>
      <c r="D79" t="s">
        <v>60</v>
      </c>
      <c r="E79">
        <v>15</v>
      </c>
      <c r="F79">
        <v>20</v>
      </c>
      <c r="G79" t="s">
        <v>64</v>
      </c>
      <c r="H79" t="s">
        <v>46</v>
      </c>
      <c r="I79" s="24">
        <f>INDEX(Schedule!$9:$9, MATCH(tblWeeklyData[[#This Row],[WeekDay]], tblSchedule[#Headers],0))</f>
        <v>46111</v>
      </c>
      <c r="J79" t="str">
        <f>IF(WEEKDAY(tblWeeklyData[[#This Row],[Date]], 2)&gt;=6, "YES", "NO")</f>
        <v>NO</v>
      </c>
      <c r="K79" t="str">
        <f>IF(NOT(ISERROR(MATCH(tblWeeklyData[[#This Row],[Date]], tblPublicHoliday[HOLIDAY], 0))), "YES", "NO")</f>
        <v>NO</v>
      </c>
      <c r="L79" t="str">
        <f>IF(OR(tblWeeklyData[[#This Row],[IsWeekend]]="YES", tblWeeklyData[[#This Row],[IsHoliday]]="YES"), "YES", "NO")</f>
        <v>NO</v>
      </c>
      <c r="M79">
        <f>INDEX(tblRefShift[Hour], MATCH(_xlfn.CONCAT(tblWeeklyData[[#This Row],[Role]],"_", tblWeeklyData[[#This Row],[ShiftCode]]), tblRefShift[ShiftID], 0))</f>
        <v>4.9999999999999982</v>
      </c>
      <c r="N79">
        <f>IF(tblWeeklyData[[#This Row],[IsHoliday]]="YES", holiday_rate_multiplier, IF(WEEKDAY(tblWeeklyData[[#This Row],[Date]], 2)=6, sat_rate_multiplier, IF(WEEKDAY(tblWeeklyData[[#This Row],[Date]], 2)=7, sun_rate_multiplier, 1))) * tblWeeklyData[[#This Row],[HourlyRate]]*tblWeeklyData[[#This Row],[WorkingHour]]</f>
        <v>74.999999999999972</v>
      </c>
      <c r="O79">
        <f>tblWeeklyData[[#This Row],[MaxHour]]/7</f>
        <v>2.8571428571428572</v>
      </c>
      <c r="P79">
        <f>IF(AND(tblWeeklyData[[#This Row],[HolidayOrWeekend]]="YES", tblWeeklyData[[#This Row],[WorkingHour]]&gt;0), 1, 0)</f>
        <v>0</v>
      </c>
    </row>
    <row r="80" spans="1:16" x14ac:dyDescent="0.45">
      <c r="A80" t="s">
        <v>61</v>
      </c>
      <c r="B80" t="s">
        <v>29</v>
      </c>
      <c r="C80" t="s">
        <v>29</v>
      </c>
      <c r="D80" t="s">
        <v>60</v>
      </c>
      <c r="E80">
        <v>15</v>
      </c>
      <c r="F80">
        <v>20</v>
      </c>
      <c r="G80" t="s">
        <v>65</v>
      </c>
      <c r="H80" t="s">
        <v>40</v>
      </c>
      <c r="I80" s="24">
        <f>INDEX(Schedule!$9:$9, MATCH(tblWeeklyData[[#This Row],[WeekDay]], tblSchedule[#Headers],0))</f>
        <v>46112</v>
      </c>
      <c r="J80" t="str">
        <f>IF(WEEKDAY(tblWeeklyData[[#This Row],[Date]], 2)&gt;=6, "YES", "NO")</f>
        <v>NO</v>
      </c>
      <c r="K80" t="str">
        <f>IF(NOT(ISERROR(MATCH(tblWeeklyData[[#This Row],[Date]], tblPublicHoliday[HOLIDAY], 0))), "YES", "NO")</f>
        <v>NO</v>
      </c>
      <c r="L80" t="str">
        <f>IF(OR(tblWeeklyData[[#This Row],[IsWeekend]]="YES", tblWeeklyData[[#This Row],[IsHoliday]]="YES"), "YES", "NO")</f>
        <v>NO</v>
      </c>
      <c r="M80">
        <f>INDEX(tblRefShift[Hour], MATCH(_xlfn.CONCAT(tblWeeklyData[[#This Row],[Role]],"_", tblWeeklyData[[#This Row],[ShiftCode]]), tblRefShift[ShiftID], 0))</f>
        <v>5</v>
      </c>
      <c r="N80">
        <f>IF(tblWeeklyData[[#This Row],[IsHoliday]]="YES", holiday_rate_multiplier, IF(WEEKDAY(tblWeeklyData[[#This Row],[Date]], 2)=6, sat_rate_multiplier, IF(WEEKDAY(tblWeeklyData[[#This Row],[Date]], 2)=7, sun_rate_multiplier, 1))) * tblWeeklyData[[#This Row],[HourlyRate]]*tblWeeklyData[[#This Row],[WorkingHour]]</f>
        <v>75</v>
      </c>
      <c r="O80">
        <f>tblWeeklyData[[#This Row],[MaxHour]]/7</f>
        <v>2.8571428571428572</v>
      </c>
      <c r="P80">
        <f>IF(AND(tblWeeklyData[[#This Row],[HolidayOrWeekend]]="YES", tblWeeklyData[[#This Row],[WorkingHour]]&gt;0), 1, 0)</f>
        <v>0</v>
      </c>
    </row>
    <row r="81" spans="1:16" x14ac:dyDescent="0.45">
      <c r="A81" t="s">
        <v>61</v>
      </c>
      <c r="B81" t="s">
        <v>29</v>
      </c>
      <c r="C81" t="s">
        <v>29</v>
      </c>
      <c r="D81" t="s">
        <v>60</v>
      </c>
      <c r="E81">
        <v>15</v>
      </c>
      <c r="F81">
        <v>20</v>
      </c>
      <c r="G81" t="s">
        <v>66</v>
      </c>
      <c r="H81" t="s">
        <v>41</v>
      </c>
      <c r="I81" s="24">
        <f>INDEX(Schedule!$9:$9, MATCH(tblWeeklyData[[#This Row],[WeekDay]], tblSchedule[#Headers],0))</f>
        <v>46113</v>
      </c>
      <c r="J81" t="str">
        <f>IF(WEEKDAY(tblWeeklyData[[#This Row],[Date]], 2)&gt;=6, "YES", "NO")</f>
        <v>NO</v>
      </c>
      <c r="K81" t="str">
        <f>IF(NOT(ISERROR(MATCH(tblWeeklyData[[#This Row],[Date]], tblPublicHoliday[HOLIDAY], 0))), "YES", "NO")</f>
        <v>NO</v>
      </c>
      <c r="L81" t="str">
        <f>IF(OR(tblWeeklyData[[#This Row],[IsWeekend]]="YES", tblWeeklyData[[#This Row],[IsHoliday]]="YES"), "YES", "NO")</f>
        <v>NO</v>
      </c>
      <c r="M81">
        <f>INDEX(tblRefShift[Hour], MATCH(_xlfn.CONCAT(tblWeeklyData[[#This Row],[Role]],"_", tblWeeklyData[[#This Row],[ShiftCode]]), tblRefShift[ShiftID], 0))</f>
        <v>0</v>
      </c>
      <c r="N81">
        <f>IF(tblWeeklyData[[#This Row],[IsHoliday]]="YES", holiday_rate_multiplier, IF(WEEKDAY(tblWeeklyData[[#This Row],[Date]], 2)=6, sat_rate_multiplier, IF(WEEKDAY(tblWeeklyData[[#This Row],[Date]], 2)=7, sun_rate_multiplier, 1))) * tblWeeklyData[[#This Row],[HourlyRate]]*tblWeeklyData[[#This Row],[WorkingHour]]</f>
        <v>0</v>
      </c>
      <c r="O81">
        <f>tblWeeklyData[[#This Row],[MaxHour]]/7</f>
        <v>2.8571428571428572</v>
      </c>
      <c r="P81">
        <f>IF(AND(tblWeeklyData[[#This Row],[HolidayOrWeekend]]="YES", tblWeeklyData[[#This Row],[WorkingHour]]&gt;0), 1, 0)</f>
        <v>0</v>
      </c>
    </row>
    <row r="82" spans="1:16" x14ac:dyDescent="0.45">
      <c r="A82" t="s">
        <v>61</v>
      </c>
      <c r="B82" t="s">
        <v>29</v>
      </c>
      <c r="C82" t="s">
        <v>29</v>
      </c>
      <c r="D82" t="s">
        <v>60</v>
      </c>
      <c r="E82">
        <v>15</v>
      </c>
      <c r="F82">
        <v>20</v>
      </c>
      <c r="G82" t="s">
        <v>67</v>
      </c>
      <c r="H82" t="s">
        <v>41</v>
      </c>
      <c r="I82" s="24">
        <f>INDEX(Schedule!$9:$9, MATCH(tblWeeklyData[[#This Row],[WeekDay]], tblSchedule[#Headers],0))</f>
        <v>46114</v>
      </c>
      <c r="J82" t="str">
        <f>IF(WEEKDAY(tblWeeklyData[[#This Row],[Date]], 2)&gt;=6, "YES", "NO")</f>
        <v>NO</v>
      </c>
      <c r="K82" t="str">
        <f>IF(NOT(ISERROR(MATCH(tblWeeklyData[[#This Row],[Date]], tblPublicHoliday[HOLIDAY], 0))), "YES", "NO")</f>
        <v>NO</v>
      </c>
      <c r="L82" t="str">
        <f>IF(OR(tblWeeklyData[[#This Row],[IsWeekend]]="YES", tblWeeklyData[[#This Row],[IsHoliday]]="YES"), "YES", "NO")</f>
        <v>NO</v>
      </c>
      <c r="M82">
        <f>INDEX(tblRefShift[Hour], MATCH(_xlfn.CONCAT(tblWeeklyData[[#This Row],[Role]],"_", tblWeeklyData[[#This Row],[ShiftCode]]), tblRefShift[ShiftID], 0))</f>
        <v>0</v>
      </c>
      <c r="N82">
        <f>IF(tblWeeklyData[[#This Row],[IsHoliday]]="YES", holiday_rate_multiplier, IF(WEEKDAY(tblWeeklyData[[#This Row],[Date]], 2)=6, sat_rate_multiplier, IF(WEEKDAY(tblWeeklyData[[#This Row],[Date]], 2)=7, sun_rate_multiplier, 1))) * tblWeeklyData[[#This Row],[HourlyRate]]*tblWeeklyData[[#This Row],[WorkingHour]]</f>
        <v>0</v>
      </c>
      <c r="O82">
        <f>tblWeeklyData[[#This Row],[MaxHour]]/7</f>
        <v>2.8571428571428572</v>
      </c>
      <c r="P82">
        <f>IF(AND(tblWeeklyData[[#This Row],[HolidayOrWeekend]]="YES", tblWeeklyData[[#This Row],[WorkingHour]]&gt;0), 1, 0)</f>
        <v>0</v>
      </c>
    </row>
    <row r="83" spans="1:16" x14ac:dyDescent="0.45">
      <c r="A83" t="s">
        <v>61</v>
      </c>
      <c r="B83" t="s">
        <v>29</v>
      </c>
      <c r="C83" t="s">
        <v>29</v>
      </c>
      <c r="D83" t="s">
        <v>60</v>
      </c>
      <c r="E83">
        <v>15</v>
      </c>
      <c r="F83">
        <v>20</v>
      </c>
      <c r="G83" t="s">
        <v>68</v>
      </c>
      <c r="H83" t="s">
        <v>46</v>
      </c>
      <c r="I83" s="24">
        <f>INDEX(Schedule!$9:$9, MATCH(tblWeeklyData[[#This Row],[WeekDay]], tblSchedule[#Headers],0))</f>
        <v>46115</v>
      </c>
      <c r="J83" t="str">
        <f>IF(WEEKDAY(tblWeeklyData[[#This Row],[Date]], 2)&gt;=6, "YES", "NO")</f>
        <v>NO</v>
      </c>
      <c r="K83" t="str">
        <f>IF(NOT(ISERROR(MATCH(tblWeeklyData[[#This Row],[Date]], tblPublicHoliday[HOLIDAY], 0))), "YES", "NO")</f>
        <v>NO</v>
      </c>
      <c r="L83" t="str">
        <f>IF(OR(tblWeeklyData[[#This Row],[IsWeekend]]="YES", tblWeeklyData[[#This Row],[IsHoliday]]="YES"), "YES", "NO")</f>
        <v>NO</v>
      </c>
      <c r="M83">
        <f>INDEX(tblRefShift[Hour], MATCH(_xlfn.CONCAT(tblWeeklyData[[#This Row],[Role]],"_", tblWeeklyData[[#This Row],[ShiftCode]]), tblRefShift[ShiftID], 0))</f>
        <v>4.9999999999999982</v>
      </c>
      <c r="N83">
        <f>IF(tblWeeklyData[[#This Row],[IsHoliday]]="YES", holiday_rate_multiplier, IF(WEEKDAY(tblWeeklyData[[#This Row],[Date]], 2)=6, sat_rate_multiplier, IF(WEEKDAY(tblWeeklyData[[#This Row],[Date]], 2)=7, sun_rate_multiplier, 1))) * tblWeeklyData[[#This Row],[HourlyRate]]*tblWeeklyData[[#This Row],[WorkingHour]]</f>
        <v>74.999999999999972</v>
      </c>
      <c r="O83">
        <f>tblWeeklyData[[#This Row],[MaxHour]]/7</f>
        <v>2.8571428571428572</v>
      </c>
      <c r="P83">
        <f>IF(AND(tblWeeklyData[[#This Row],[HolidayOrWeekend]]="YES", tblWeeklyData[[#This Row],[WorkingHour]]&gt;0), 1, 0)</f>
        <v>0</v>
      </c>
    </row>
    <row r="84" spans="1:16" x14ac:dyDescent="0.45">
      <c r="A84" t="s">
        <v>61</v>
      </c>
      <c r="B84" t="s">
        <v>29</v>
      </c>
      <c r="C84" t="s">
        <v>29</v>
      </c>
      <c r="D84" t="s">
        <v>60</v>
      </c>
      <c r="E84">
        <v>15</v>
      </c>
      <c r="F84">
        <v>20</v>
      </c>
      <c r="G84" t="s">
        <v>69</v>
      </c>
      <c r="H84" t="s">
        <v>41</v>
      </c>
      <c r="I84" s="24">
        <f>INDEX(Schedule!$9:$9, MATCH(tblWeeklyData[[#This Row],[WeekDay]], tblSchedule[#Headers],0))</f>
        <v>46116</v>
      </c>
      <c r="J84" t="str">
        <f>IF(WEEKDAY(tblWeeklyData[[#This Row],[Date]], 2)&gt;=6, "YES", "NO")</f>
        <v>YES</v>
      </c>
      <c r="K84" t="str">
        <f>IF(NOT(ISERROR(MATCH(tblWeeklyData[[#This Row],[Date]], tblPublicHoliday[HOLIDAY], 0))), "YES", "NO")</f>
        <v>NO</v>
      </c>
      <c r="L84" t="str">
        <f>IF(OR(tblWeeklyData[[#This Row],[IsWeekend]]="YES", tblWeeklyData[[#This Row],[IsHoliday]]="YES"), "YES", "NO")</f>
        <v>YES</v>
      </c>
      <c r="M84">
        <f>INDEX(tblRefShift[Hour], MATCH(_xlfn.CONCAT(tblWeeklyData[[#This Row],[Role]],"_", tblWeeklyData[[#This Row],[ShiftCode]]), tblRefShift[ShiftID], 0))</f>
        <v>0</v>
      </c>
      <c r="N84">
        <f>IF(tblWeeklyData[[#This Row],[IsHoliday]]="YES", holiday_rate_multiplier, IF(WEEKDAY(tblWeeklyData[[#This Row],[Date]], 2)=6, sat_rate_multiplier, IF(WEEKDAY(tblWeeklyData[[#This Row],[Date]], 2)=7, sun_rate_multiplier, 1))) * tblWeeklyData[[#This Row],[HourlyRate]]*tblWeeklyData[[#This Row],[WorkingHour]]</f>
        <v>0</v>
      </c>
      <c r="O84">
        <f>tblWeeklyData[[#This Row],[MaxHour]]/7</f>
        <v>2.8571428571428572</v>
      </c>
      <c r="P84">
        <f>IF(AND(tblWeeklyData[[#This Row],[HolidayOrWeekend]]="YES", tblWeeklyData[[#This Row],[WorkingHour]]&gt;0), 1, 0)</f>
        <v>0</v>
      </c>
    </row>
    <row r="85" spans="1:16" x14ac:dyDescent="0.45">
      <c r="A85" t="s">
        <v>61</v>
      </c>
      <c r="B85" t="s">
        <v>29</v>
      </c>
      <c r="C85" t="s">
        <v>29</v>
      </c>
      <c r="D85" t="s">
        <v>60</v>
      </c>
      <c r="E85">
        <v>15</v>
      </c>
      <c r="F85">
        <v>20</v>
      </c>
      <c r="G85" t="s">
        <v>70</v>
      </c>
      <c r="H85" t="s">
        <v>41</v>
      </c>
      <c r="I85" s="24">
        <f>INDEX(Schedule!$9:$9, MATCH(tblWeeklyData[[#This Row],[WeekDay]], tblSchedule[#Headers],0))</f>
        <v>46117</v>
      </c>
      <c r="J85" t="str">
        <f>IF(WEEKDAY(tblWeeklyData[[#This Row],[Date]], 2)&gt;=6, "YES", "NO")</f>
        <v>YES</v>
      </c>
      <c r="K85" t="str">
        <f>IF(NOT(ISERROR(MATCH(tblWeeklyData[[#This Row],[Date]], tblPublicHoliday[HOLIDAY], 0))), "YES", "NO")</f>
        <v>NO</v>
      </c>
      <c r="L85" t="str">
        <f>IF(OR(tblWeeklyData[[#This Row],[IsWeekend]]="YES", tblWeeklyData[[#This Row],[IsHoliday]]="YES"), "YES", "NO")</f>
        <v>YES</v>
      </c>
      <c r="M85">
        <f>INDEX(tblRefShift[Hour], MATCH(_xlfn.CONCAT(tblWeeklyData[[#This Row],[Role]],"_", tblWeeklyData[[#This Row],[ShiftCode]]), tblRefShift[ShiftID], 0))</f>
        <v>0</v>
      </c>
      <c r="N85">
        <f>IF(tblWeeklyData[[#This Row],[IsHoliday]]="YES", holiday_rate_multiplier, IF(WEEKDAY(tblWeeklyData[[#This Row],[Date]], 2)=6, sat_rate_multiplier, IF(WEEKDAY(tblWeeklyData[[#This Row],[Date]], 2)=7, sun_rate_multiplier, 1))) * tblWeeklyData[[#This Row],[HourlyRate]]*tblWeeklyData[[#This Row],[WorkingHour]]</f>
        <v>0</v>
      </c>
      <c r="O85">
        <f>tblWeeklyData[[#This Row],[MaxHour]]/7</f>
        <v>2.8571428571428572</v>
      </c>
      <c r="P85">
        <f>IF(AND(tblWeeklyData[[#This Row],[HolidayOrWeekend]]="YES", tblWeeklyData[[#This Row],[WorkingHour]]&gt;0), 1, 0)</f>
        <v>0</v>
      </c>
    </row>
    <row r="86" spans="1:16" x14ac:dyDescent="0.45">
      <c r="A86" t="s">
        <v>62</v>
      </c>
      <c r="B86" t="s">
        <v>29</v>
      </c>
      <c r="C86" t="s">
        <v>29</v>
      </c>
      <c r="D86" t="s">
        <v>60</v>
      </c>
      <c r="E86">
        <v>15</v>
      </c>
      <c r="F86">
        <v>20</v>
      </c>
      <c r="G86" t="s">
        <v>64</v>
      </c>
      <c r="H86" t="s">
        <v>41</v>
      </c>
      <c r="I86" s="24">
        <f>INDEX(Schedule!$9:$9, MATCH(tblWeeklyData[[#This Row],[WeekDay]], tblSchedule[#Headers],0))</f>
        <v>46111</v>
      </c>
      <c r="J86" t="str">
        <f>IF(WEEKDAY(tblWeeklyData[[#This Row],[Date]], 2)&gt;=6, "YES", "NO")</f>
        <v>NO</v>
      </c>
      <c r="K86" t="str">
        <f>IF(NOT(ISERROR(MATCH(tblWeeklyData[[#This Row],[Date]], tblPublicHoliday[HOLIDAY], 0))), "YES", "NO")</f>
        <v>NO</v>
      </c>
      <c r="L86" t="str">
        <f>IF(OR(tblWeeklyData[[#This Row],[IsWeekend]]="YES", tblWeeklyData[[#This Row],[IsHoliday]]="YES"), "YES", "NO")</f>
        <v>NO</v>
      </c>
      <c r="M86">
        <f>INDEX(tblRefShift[Hour], MATCH(_xlfn.CONCAT(tblWeeklyData[[#This Row],[Role]],"_", tblWeeklyData[[#This Row],[ShiftCode]]), tblRefShift[ShiftID], 0))</f>
        <v>0</v>
      </c>
      <c r="N86">
        <f>IF(tblWeeklyData[[#This Row],[IsHoliday]]="YES", holiday_rate_multiplier, IF(WEEKDAY(tblWeeklyData[[#This Row],[Date]], 2)=6, sat_rate_multiplier, IF(WEEKDAY(tblWeeklyData[[#This Row],[Date]], 2)=7, sun_rate_multiplier, 1))) * tblWeeklyData[[#This Row],[HourlyRate]]*tblWeeklyData[[#This Row],[WorkingHour]]</f>
        <v>0</v>
      </c>
      <c r="O86">
        <f>tblWeeklyData[[#This Row],[MaxHour]]/7</f>
        <v>2.8571428571428572</v>
      </c>
      <c r="P86">
        <f>IF(AND(tblWeeklyData[[#This Row],[HolidayOrWeekend]]="YES", tblWeeklyData[[#This Row],[WorkingHour]]&gt;0), 1, 0)</f>
        <v>0</v>
      </c>
    </row>
    <row r="87" spans="1:16" x14ac:dyDescent="0.45">
      <c r="A87" t="s">
        <v>62</v>
      </c>
      <c r="B87" t="s">
        <v>29</v>
      </c>
      <c r="C87" t="s">
        <v>29</v>
      </c>
      <c r="D87" t="s">
        <v>60</v>
      </c>
      <c r="E87">
        <v>15</v>
      </c>
      <c r="F87">
        <v>20</v>
      </c>
      <c r="G87" t="s">
        <v>65</v>
      </c>
      <c r="H87" t="s">
        <v>40</v>
      </c>
      <c r="I87" s="24">
        <f>INDEX(Schedule!$9:$9, MATCH(tblWeeklyData[[#This Row],[WeekDay]], tblSchedule[#Headers],0))</f>
        <v>46112</v>
      </c>
      <c r="J87" t="str">
        <f>IF(WEEKDAY(tblWeeklyData[[#This Row],[Date]], 2)&gt;=6, "YES", "NO")</f>
        <v>NO</v>
      </c>
      <c r="K87" t="str">
        <f>IF(NOT(ISERROR(MATCH(tblWeeklyData[[#This Row],[Date]], tblPublicHoliday[HOLIDAY], 0))), "YES", "NO")</f>
        <v>NO</v>
      </c>
      <c r="L87" t="str">
        <f>IF(OR(tblWeeklyData[[#This Row],[IsWeekend]]="YES", tblWeeklyData[[#This Row],[IsHoliday]]="YES"), "YES", "NO")</f>
        <v>NO</v>
      </c>
      <c r="M87">
        <f>INDEX(tblRefShift[Hour], MATCH(_xlfn.CONCAT(tblWeeklyData[[#This Row],[Role]],"_", tblWeeklyData[[#This Row],[ShiftCode]]), tblRefShift[ShiftID], 0))</f>
        <v>5</v>
      </c>
      <c r="N87">
        <f>IF(tblWeeklyData[[#This Row],[IsHoliday]]="YES", holiday_rate_multiplier, IF(WEEKDAY(tblWeeklyData[[#This Row],[Date]], 2)=6, sat_rate_multiplier, IF(WEEKDAY(tblWeeklyData[[#This Row],[Date]], 2)=7, sun_rate_multiplier, 1))) * tblWeeklyData[[#This Row],[HourlyRate]]*tblWeeklyData[[#This Row],[WorkingHour]]</f>
        <v>75</v>
      </c>
      <c r="O87">
        <f>tblWeeklyData[[#This Row],[MaxHour]]/7</f>
        <v>2.8571428571428572</v>
      </c>
      <c r="P87">
        <f>IF(AND(tblWeeklyData[[#This Row],[HolidayOrWeekend]]="YES", tblWeeklyData[[#This Row],[WorkingHour]]&gt;0), 1, 0)</f>
        <v>0</v>
      </c>
    </row>
    <row r="88" spans="1:16" x14ac:dyDescent="0.45">
      <c r="A88" t="s">
        <v>62</v>
      </c>
      <c r="B88" t="s">
        <v>29</v>
      </c>
      <c r="C88" t="s">
        <v>29</v>
      </c>
      <c r="D88" t="s">
        <v>60</v>
      </c>
      <c r="E88">
        <v>15</v>
      </c>
      <c r="F88">
        <v>20</v>
      </c>
      <c r="G88" t="s">
        <v>66</v>
      </c>
      <c r="H88" t="s">
        <v>41</v>
      </c>
      <c r="I88" s="24">
        <f>INDEX(Schedule!$9:$9, MATCH(tblWeeklyData[[#This Row],[WeekDay]], tblSchedule[#Headers],0))</f>
        <v>46113</v>
      </c>
      <c r="J88" t="str">
        <f>IF(WEEKDAY(tblWeeklyData[[#This Row],[Date]], 2)&gt;=6, "YES", "NO")</f>
        <v>NO</v>
      </c>
      <c r="K88" t="str">
        <f>IF(NOT(ISERROR(MATCH(tblWeeklyData[[#This Row],[Date]], tblPublicHoliday[HOLIDAY], 0))), "YES", "NO")</f>
        <v>NO</v>
      </c>
      <c r="L88" t="str">
        <f>IF(OR(tblWeeklyData[[#This Row],[IsWeekend]]="YES", tblWeeklyData[[#This Row],[IsHoliday]]="YES"), "YES", "NO")</f>
        <v>NO</v>
      </c>
      <c r="M88">
        <f>INDEX(tblRefShift[Hour], MATCH(_xlfn.CONCAT(tblWeeklyData[[#This Row],[Role]],"_", tblWeeklyData[[#This Row],[ShiftCode]]), tblRefShift[ShiftID], 0))</f>
        <v>0</v>
      </c>
      <c r="N88">
        <f>IF(tblWeeklyData[[#This Row],[IsHoliday]]="YES", holiday_rate_multiplier, IF(WEEKDAY(tblWeeklyData[[#This Row],[Date]], 2)=6, sat_rate_multiplier, IF(WEEKDAY(tblWeeklyData[[#This Row],[Date]], 2)=7, sun_rate_multiplier, 1))) * tblWeeklyData[[#This Row],[HourlyRate]]*tblWeeklyData[[#This Row],[WorkingHour]]</f>
        <v>0</v>
      </c>
      <c r="O88">
        <f>tblWeeklyData[[#This Row],[MaxHour]]/7</f>
        <v>2.8571428571428572</v>
      </c>
      <c r="P88">
        <f>IF(AND(tblWeeklyData[[#This Row],[HolidayOrWeekend]]="YES", tblWeeklyData[[#This Row],[WorkingHour]]&gt;0), 1, 0)</f>
        <v>0</v>
      </c>
    </row>
    <row r="89" spans="1:16" x14ac:dyDescent="0.45">
      <c r="A89" t="s">
        <v>62</v>
      </c>
      <c r="B89" t="s">
        <v>29</v>
      </c>
      <c r="C89" t="s">
        <v>29</v>
      </c>
      <c r="D89" t="s">
        <v>60</v>
      </c>
      <c r="E89">
        <v>15</v>
      </c>
      <c r="F89">
        <v>20</v>
      </c>
      <c r="G89" t="s">
        <v>67</v>
      </c>
      <c r="H89" t="s">
        <v>41</v>
      </c>
      <c r="I89" s="24">
        <f>INDEX(Schedule!$9:$9, MATCH(tblWeeklyData[[#This Row],[WeekDay]], tblSchedule[#Headers],0))</f>
        <v>46114</v>
      </c>
      <c r="J89" t="str">
        <f>IF(WEEKDAY(tblWeeklyData[[#This Row],[Date]], 2)&gt;=6, "YES", "NO")</f>
        <v>NO</v>
      </c>
      <c r="K89" t="str">
        <f>IF(NOT(ISERROR(MATCH(tblWeeklyData[[#This Row],[Date]], tblPublicHoliday[HOLIDAY], 0))), "YES", "NO")</f>
        <v>NO</v>
      </c>
      <c r="L89" t="str">
        <f>IF(OR(tblWeeklyData[[#This Row],[IsWeekend]]="YES", tblWeeklyData[[#This Row],[IsHoliday]]="YES"), "YES", "NO")</f>
        <v>NO</v>
      </c>
      <c r="M89">
        <f>INDEX(tblRefShift[Hour], MATCH(_xlfn.CONCAT(tblWeeklyData[[#This Row],[Role]],"_", tblWeeklyData[[#This Row],[ShiftCode]]), tblRefShift[ShiftID], 0))</f>
        <v>0</v>
      </c>
      <c r="N89">
        <f>IF(tblWeeklyData[[#This Row],[IsHoliday]]="YES", holiday_rate_multiplier, IF(WEEKDAY(tblWeeklyData[[#This Row],[Date]], 2)=6, sat_rate_multiplier, IF(WEEKDAY(tblWeeklyData[[#This Row],[Date]], 2)=7, sun_rate_multiplier, 1))) * tblWeeklyData[[#This Row],[HourlyRate]]*tblWeeklyData[[#This Row],[WorkingHour]]</f>
        <v>0</v>
      </c>
      <c r="O89">
        <f>tblWeeklyData[[#This Row],[MaxHour]]/7</f>
        <v>2.8571428571428572</v>
      </c>
      <c r="P89">
        <f>IF(AND(tblWeeklyData[[#This Row],[HolidayOrWeekend]]="YES", tblWeeklyData[[#This Row],[WorkingHour]]&gt;0), 1, 0)</f>
        <v>0</v>
      </c>
    </row>
    <row r="90" spans="1:16" x14ac:dyDescent="0.45">
      <c r="A90" t="s">
        <v>62</v>
      </c>
      <c r="B90" t="s">
        <v>29</v>
      </c>
      <c r="C90" t="s">
        <v>29</v>
      </c>
      <c r="D90" t="s">
        <v>60</v>
      </c>
      <c r="E90">
        <v>15</v>
      </c>
      <c r="F90">
        <v>20</v>
      </c>
      <c r="G90" t="s">
        <v>68</v>
      </c>
      <c r="H90" t="s">
        <v>39</v>
      </c>
      <c r="I90" s="24">
        <f>INDEX(Schedule!$9:$9, MATCH(tblWeeklyData[[#This Row],[WeekDay]], tblSchedule[#Headers],0))</f>
        <v>46115</v>
      </c>
      <c r="J90" t="str">
        <f>IF(WEEKDAY(tblWeeklyData[[#This Row],[Date]], 2)&gt;=6, "YES", "NO")</f>
        <v>NO</v>
      </c>
      <c r="K90" t="str">
        <f>IF(NOT(ISERROR(MATCH(tblWeeklyData[[#This Row],[Date]], tblPublicHoliday[HOLIDAY], 0))), "YES", "NO")</f>
        <v>NO</v>
      </c>
      <c r="L90" t="str">
        <f>IF(OR(tblWeeklyData[[#This Row],[IsWeekend]]="YES", tblWeeklyData[[#This Row],[IsHoliday]]="YES"), "YES", "NO")</f>
        <v>NO</v>
      </c>
      <c r="M90">
        <f>INDEX(tblRefShift[Hour], MATCH(_xlfn.CONCAT(tblWeeklyData[[#This Row],[Role]],"_", tblWeeklyData[[#This Row],[ShiftCode]]), tblRefShift[ShiftID], 0))</f>
        <v>4.9999999999999982</v>
      </c>
      <c r="N90">
        <f>IF(tblWeeklyData[[#This Row],[IsHoliday]]="YES", holiday_rate_multiplier, IF(WEEKDAY(tblWeeklyData[[#This Row],[Date]], 2)=6, sat_rate_multiplier, IF(WEEKDAY(tblWeeklyData[[#This Row],[Date]], 2)=7, sun_rate_multiplier, 1))) * tblWeeklyData[[#This Row],[HourlyRate]]*tblWeeklyData[[#This Row],[WorkingHour]]</f>
        <v>74.999999999999972</v>
      </c>
      <c r="O90">
        <f>tblWeeklyData[[#This Row],[MaxHour]]/7</f>
        <v>2.8571428571428572</v>
      </c>
      <c r="P90">
        <f>IF(AND(tblWeeklyData[[#This Row],[HolidayOrWeekend]]="YES", tblWeeklyData[[#This Row],[WorkingHour]]&gt;0), 1, 0)</f>
        <v>0</v>
      </c>
    </row>
    <row r="91" spans="1:16" x14ac:dyDescent="0.45">
      <c r="A91" t="s">
        <v>62</v>
      </c>
      <c r="B91" t="s">
        <v>29</v>
      </c>
      <c r="C91" t="s">
        <v>29</v>
      </c>
      <c r="D91" t="s">
        <v>60</v>
      </c>
      <c r="E91">
        <v>15</v>
      </c>
      <c r="F91">
        <v>20</v>
      </c>
      <c r="G91" t="s">
        <v>69</v>
      </c>
      <c r="H91" t="s">
        <v>40</v>
      </c>
      <c r="I91" s="24">
        <f>INDEX(Schedule!$9:$9, MATCH(tblWeeklyData[[#This Row],[WeekDay]], tblSchedule[#Headers],0))</f>
        <v>46116</v>
      </c>
      <c r="J91" t="str">
        <f>IF(WEEKDAY(tblWeeklyData[[#This Row],[Date]], 2)&gt;=6, "YES", "NO")</f>
        <v>YES</v>
      </c>
      <c r="K91" t="str">
        <f>IF(NOT(ISERROR(MATCH(tblWeeklyData[[#This Row],[Date]], tblPublicHoliday[HOLIDAY], 0))), "YES", "NO")</f>
        <v>NO</v>
      </c>
      <c r="L91" t="str">
        <f>IF(OR(tblWeeklyData[[#This Row],[IsWeekend]]="YES", tblWeeklyData[[#This Row],[IsHoliday]]="YES"), "YES", "NO")</f>
        <v>YES</v>
      </c>
      <c r="M91">
        <f>INDEX(tblRefShift[Hour], MATCH(_xlfn.CONCAT(tblWeeklyData[[#This Row],[Role]],"_", tblWeeklyData[[#This Row],[ShiftCode]]), tblRefShift[ShiftID], 0))</f>
        <v>5</v>
      </c>
      <c r="N91">
        <f>IF(tblWeeklyData[[#This Row],[IsHoliday]]="YES", holiday_rate_multiplier, IF(WEEKDAY(tblWeeklyData[[#This Row],[Date]], 2)=6, sat_rate_multiplier, IF(WEEKDAY(tblWeeklyData[[#This Row],[Date]], 2)=7, sun_rate_multiplier, 1))) * tblWeeklyData[[#This Row],[HourlyRate]]*tblWeeklyData[[#This Row],[WorkingHour]]</f>
        <v>112.5</v>
      </c>
      <c r="O91">
        <f>tblWeeklyData[[#This Row],[MaxHour]]/7</f>
        <v>2.8571428571428572</v>
      </c>
      <c r="P91">
        <f>IF(AND(tblWeeklyData[[#This Row],[HolidayOrWeekend]]="YES", tblWeeklyData[[#This Row],[WorkingHour]]&gt;0), 1, 0)</f>
        <v>1</v>
      </c>
    </row>
    <row r="92" spans="1:16" x14ac:dyDescent="0.45">
      <c r="A92" t="s">
        <v>62</v>
      </c>
      <c r="B92" t="s">
        <v>29</v>
      </c>
      <c r="C92" t="s">
        <v>29</v>
      </c>
      <c r="D92" t="s">
        <v>60</v>
      </c>
      <c r="E92">
        <v>15</v>
      </c>
      <c r="F92">
        <v>20</v>
      </c>
      <c r="G92" t="s">
        <v>70</v>
      </c>
      <c r="H92" t="s">
        <v>46</v>
      </c>
      <c r="I92" s="24">
        <f>INDEX(Schedule!$9:$9, MATCH(tblWeeklyData[[#This Row],[WeekDay]], tblSchedule[#Headers],0))</f>
        <v>46117</v>
      </c>
      <c r="J92" t="str">
        <f>IF(WEEKDAY(tblWeeklyData[[#This Row],[Date]], 2)&gt;=6, "YES", "NO")</f>
        <v>YES</v>
      </c>
      <c r="K92" t="str">
        <f>IF(NOT(ISERROR(MATCH(tblWeeklyData[[#This Row],[Date]], tblPublicHoliday[HOLIDAY], 0))), "YES", "NO")</f>
        <v>NO</v>
      </c>
      <c r="L92" t="str">
        <f>IF(OR(tblWeeklyData[[#This Row],[IsWeekend]]="YES", tblWeeklyData[[#This Row],[IsHoliday]]="YES"), "YES", "NO")</f>
        <v>YES</v>
      </c>
      <c r="M92">
        <f>INDEX(tblRefShift[Hour], MATCH(_xlfn.CONCAT(tblWeeklyData[[#This Row],[Role]],"_", tblWeeklyData[[#This Row],[ShiftCode]]), tblRefShift[ShiftID], 0))</f>
        <v>4.9999999999999982</v>
      </c>
      <c r="N92">
        <f>IF(tblWeeklyData[[#This Row],[IsHoliday]]="YES", holiday_rate_multiplier, IF(WEEKDAY(tblWeeklyData[[#This Row],[Date]], 2)=6, sat_rate_multiplier, IF(WEEKDAY(tblWeeklyData[[#This Row],[Date]], 2)=7, sun_rate_multiplier, 1))) * tblWeeklyData[[#This Row],[HourlyRate]]*tblWeeklyData[[#This Row],[WorkingHour]]</f>
        <v>112.49999999999996</v>
      </c>
      <c r="O92">
        <f>tblWeeklyData[[#This Row],[MaxHour]]/7</f>
        <v>2.8571428571428572</v>
      </c>
      <c r="P92">
        <f>IF(AND(tblWeeklyData[[#This Row],[HolidayOrWeekend]]="YES", tblWeeklyData[[#This Row],[WorkingHour]]&gt;0), 1, 0)</f>
        <v>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EEB65-5276-4E30-83C7-27B987D28314}">
  <sheetPr codeName="SheettblHistory"/>
  <dimension ref="A1:P1366"/>
  <sheetViews>
    <sheetView showGridLines="0" zoomScaleNormal="100" workbookViewId="0">
      <selection activeCell="P2" sqref="P2"/>
    </sheetView>
  </sheetViews>
  <sheetFormatPr defaultRowHeight="14.25" x14ac:dyDescent="0.45"/>
  <cols>
    <col min="1" max="1" width="15.59765625" bestFit="1" customWidth="1"/>
    <col min="2" max="2" width="15.33203125" bestFit="1" customWidth="1"/>
    <col min="3" max="3" width="13.3984375" customWidth="1"/>
    <col min="5" max="5" width="11.59765625" customWidth="1"/>
    <col min="6" max="6" width="9.73046875" customWidth="1"/>
    <col min="7" max="7" width="10.1328125" customWidth="1"/>
    <col min="8" max="8" width="14.19921875" bestFit="1" customWidth="1"/>
    <col min="9" max="9" width="10.265625" bestFit="1" customWidth="1"/>
    <col min="10" max="10" width="6.9296875" customWidth="1"/>
    <col min="11" max="11" width="7.53125" customWidth="1"/>
    <col min="12" max="12" width="7.86328125" customWidth="1"/>
    <col min="13" max="13" width="13.06640625" customWidth="1"/>
    <col min="15" max="15" width="8.46484375" customWidth="1"/>
    <col min="16" max="16" width="11.73046875" bestFit="1" customWidth="1"/>
  </cols>
  <sheetData>
    <row r="1" spans="1:16" x14ac:dyDescent="0.45">
      <c r="A1" t="s">
        <v>14</v>
      </c>
      <c r="B1" t="s">
        <v>12</v>
      </c>
      <c r="C1" t="s">
        <v>13</v>
      </c>
      <c r="D1" t="s">
        <v>15</v>
      </c>
      <c r="E1" t="s">
        <v>16</v>
      </c>
      <c r="F1" t="s">
        <v>18</v>
      </c>
      <c r="G1" t="s">
        <v>109</v>
      </c>
      <c r="H1" t="s">
        <v>31</v>
      </c>
      <c r="I1" t="s">
        <v>110</v>
      </c>
      <c r="J1" t="s">
        <v>111</v>
      </c>
      <c r="K1" t="s">
        <v>112</v>
      </c>
      <c r="L1" t="s">
        <v>113</v>
      </c>
      <c r="M1" t="s">
        <v>114</v>
      </c>
      <c r="N1" t="s">
        <v>115</v>
      </c>
      <c r="O1" t="s">
        <v>116</v>
      </c>
      <c r="P1" t="s">
        <v>20</v>
      </c>
    </row>
    <row r="2" spans="1:16" x14ac:dyDescent="0.45">
      <c r="A2" t="s">
        <v>48</v>
      </c>
      <c r="B2" t="s">
        <v>30</v>
      </c>
      <c r="C2" t="s">
        <v>28</v>
      </c>
      <c r="D2" t="s">
        <v>49</v>
      </c>
      <c r="E2">
        <v>30</v>
      </c>
      <c r="F2">
        <v>40</v>
      </c>
      <c r="G2" t="s">
        <v>64</v>
      </c>
      <c r="H2" t="s">
        <v>35</v>
      </c>
      <c r="I2" s="24">
        <v>46020</v>
      </c>
      <c r="J2" t="s">
        <v>117</v>
      </c>
      <c r="K2" t="s">
        <v>117</v>
      </c>
      <c r="L2" t="s">
        <v>117</v>
      </c>
      <c r="M2">
        <v>7</v>
      </c>
      <c r="N2">
        <v>210</v>
      </c>
      <c r="O2">
        <v>5.7142857142857144</v>
      </c>
      <c r="P2">
        <v>0</v>
      </c>
    </row>
    <row r="3" spans="1:16" x14ac:dyDescent="0.45">
      <c r="A3" t="s">
        <v>50</v>
      </c>
      <c r="B3" t="s">
        <v>27</v>
      </c>
      <c r="C3" t="s">
        <v>28</v>
      </c>
      <c r="D3" t="s">
        <v>49</v>
      </c>
      <c r="E3">
        <v>25</v>
      </c>
      <c r="F3">
        <v>40</v>
      </c>
      <c r="G3" t="s">
        <v>64</v>
      </c>
      <c r="H3" t="s">
        <v>37</v>
      </c>
      <c r="I3" s="24">
        <v>46020</v>
      </c>
      <c r="J3" t="s">
        <v>117</v>
      </c>
      <c r="K3" t="s">
        <v>117</v>
      </c>
      <c r="L3" t="s">
        <v>117</v>
      </c>
      <c r="M3">
        <v>7</v>
      </c>
      <c r="N3">
        <v>175</v>
      </c>
      <c r="O3">
        <v>5.7142857142857144</v>
      </c>
      <c r="P3">
        <v>0</v>
      </c>
    </row>
    <row r="4" spans="1:16" x14ac:dyDescent="0.45">
      <c r="A4" t="s">
        <v>51</v>
      </c>
      <c r="B4" t="s">
        <v>27</v>
      </c>
      <c r="C4" t="s">
        <v>28</v>
      </c>
      <c r="D4" t="s">
        <v>49</v>
      </c>
      <c r="E4">
        <v>25</v>
      </c>
      <c r="F4">
        <v>40</v>
      </c>
      <c r="G4" t="s">
        <v>64</v>
      </c>
      <c r="H4" t="s">
        <v>41</v>
      </c>
      <c r="I4" s="24">
        <v>46020</v>
      </c>
      <c r="J4" t="s">
        <v>117</v>
      </c>
      <c r="K4" t="s">
        <v>117</v>
      </c>
      <c r="L4" t="s">
        <v>117</v>
      </c>
      <c r="M4">
        <v>0</v>
      </c>
      <c r="N4">
        <v>0</v>
      </c>
      <c r="O4">
        <v>5.7142857142857144</v>
      </c>
      <c r="P4">
        <v>0</v>
      </c>
    </row>
    <row r="5" spans="1:16" x14ac:dyDescent="0.45">
      <c r="A5" t="s">
        <v>52</v>
      </c>
      <c r="B5" t="s">
        <v>26</v>
      </c>
      <c r="C5" t="s">
        <v>26</v>
      </c>
      <c r="D5" t="s">
        <v>49</v>
      </c>
      <c r="E5">
        <v>35</v>
      </c>
      <c r="F5">
        <v>40</v>
      </c>
      <c r="G5" t="s">
        <v>64</v>
      </c>
      <c r="H5" t="s">
        <v>42</v>
      </c>
      <c r="I5" s="24">
        <v>46020</v>
      </c>
      <c r="J5" t="s">
        <v>117</v>
      </c>
      <c r="K5" t="s">
        <v>117</v>
      </c>
      <c r="L5" t="s">
        <v>117</v>
      </c>
      <c r="M5">
        <v>7.9999999999999982</v>
      </c>
      <c r="N5">
        <v>279.99999999999994</v>
      </c>
      <c r="O5">
        <v>5.7142857142857144</v>
      </c>
      <c r="P5">
        <v>0</v>
      </c>
    </row>
    <row r="6" spans="1:16" x14ac:dyDescent="0.45">
      <c r="A6" t="s">
        <v>53</v>
      </c>
      <c r="B6" t="s">
        <v>26</v>
      </c>
      <c r="C6" t="s">
        <v>26</v>
      </c>
      <c r="D6" t="s">
        <v>49</v>
      </c>
      <c r="E6">
        <v>35</v>
      </c>
      <c r="F6">
        <v>40</v>
      </c>
      <c r="G6" t="s">
        <v>64</v>
      </c>
      <c r="H6" t="s">
        <v>44</v>
      </c>
      <c r="I6" s="24">
        <v>46020</v>
      </c>
      <c r="J6" t="s">
        <v>117</v>
      </c>
      <c r="K6" t="s">
        <v>117</v>
      </c>
      <c r="L6" t="s">
        <v>117</v>
      </c>
      <c r="M6">
        <v>8</v>
      </c>
      <c r="N6">
        <v>280</v>
      </c>
      <c r="O6">
        <v>5.7142857142857144</v>
      </c>
      <c r="P6">
        <v>0</v>
      </c>
    </row>
    <row r="7" spans="1:16" x14ac:dyDescent="0.45">
      <c r="A7" t="s">
        <v>54</v>
      </c>
      <c r="B7" t="s">
        <v>25</v>
      </c>
      <c r="C7" t="s">
        <v>26</v>
      </c>
      <c r="D7" t="s">
        <v>49</v>
      </c>
      <c r="E7">
        <v>28</v>
      </c>
      <c r="F7">
        <v>40</v>
      </c>
      <c r="G7" t="s">
        <v>64</v>
      </c>
      <c r="H7" t="s">
        <v>41</v>
      </c>
      <c r="I7" s="24">
        <v>46020</v>
      </c>
      <c r="J7" t="s">
        <v>117</v>
      </c>
      <c r="K7" t="s">
        <v>117</v>
      </c>
      <c r="L7" t="s">
        <v>117</v>
      </c>
      <c r="M7">
        <v>0</v>
      </c>
      <c r="N7">
        <v>0</v>
      </c>
      <c r="O7">
        <v>5.7142857142857144</v>
      </c>
      <c r="P7">
        <v>0</v>
      </c>
    </row>
    <row r="8" spans="1:16" x14ac:dyDescent="0.45">
      <c r="A8" t="s">
        <v>55</v>
      </c>
      <c r="B8" t="s">
        <v>25</v>
      </c>
      <c r="C8" t="s">
        <v>26</v>
      </c>
      <c r="D8" t="s">
        <v>49</v>
      </c>
      <c r="E8">
        <v>28</v>
      </c>
      <c r="F8">
        <v>40</v>
      </c>
      <c r="G8" t="s">
        <v>64</v>
      </c>
      <c r="H8" t="s">
        <v>44</v>
      </c>
      <c r="I8" s="24">
        <v>46020</v>
      </c>
      <c r="J8" t="s">
        <v>117</v>
      </c>
      <c r="K8" t="s">
        <v>117</v>
      </c>
      <c r="L8" t="s">
        <v>117</v>
      </c>
      <c r="M8">
        <v>8</v>
      </c>
      <c r="N8">
        <v>224</v>
      </c>
      <c r="O8">
        <v>5.7142857142857144</v>
      </c>
      <c r="P8">
        <v>0</v>
      </c>
    </row>
    <row r="9" spans="1:16" x14ac:dyDescent="0.45">
      <c r="A9" t="s">
        <v>56</v>
      </c>
      <c r="B9" t="s">
        <v>29</v>
      </c>
      <c r="C9" t="s">
        <v>29</v>
      </c>
      <c r="D9" t="s">
        <v>49</v>
      </c>
      <c r="E9">
        <v>20</v>
      </c>
      <c r="F9">
        <v>40</v>
      </c>
      <c r="G9" t="s">
        <v>64</v>
      </c>
      <c r="H9" t="s">
        <v>45</v>
      </c>
      <c r="I9" s="24">
        <v>46020</v>
      </c>
      <c r="J9" t="s">
        <v>117</v>
      </c>
      <c r="K9" t="s">
        <v>117</v>
      </c>
      <c r="L9" t="s">
        <v>117</v>
      </c>
      <c r="M9">
        <v>7.9999999999999982</v>
      </c>
      <c r="N9">
        <v>159.99999999999997</v>
      </c>
      <c r="O9">
        <v>5.7142857142857144</v>
      </c>
      <c r="P9">
        <v>0</v>
      </c>
    </row>
    <row r="10" spans="1:16" x14ac:dyDescent="0.45">
      <c r="A10" t="s">
        <v>57</v>
      </c>
      <c r="B10" t="s">
        <v>29</v>
      </c>
      <c r="C10" t="s">
        <v>29</v>
      </c>
      <c r="D10" t="s">
        <v>49</v>
      </c>
      <c r="E10">
        <v>20</v>
      </c>
      <c r="F10">
        <v>40</v>
      </c>
      <c r="G10" t="s">
        <v>64</v>
      </c>
      <c r="H10" t="s">
        <v>44</v>
      </c>
      <c r="I10" s="24">
        <v>46020</v>
      </c>
      <c r="J10" t="s">
        <v>117</v>
      </c>
      <c r="K10" t="s">
        <v>117</v>
      </c>
      <c r="L10" t="s">
        <v>117</v>
      </c>
      <c r="M10">
        <v>8</v>
      </c>
      <c r="N10">
        <v>160</v>
      </c>
      <c r="O10">
        <v>5.7142857142857144</v>
      </c>
      <c r="P10">
        <v>0</v>
      </c>
    </row>
    <row r="11" spans="1:16" x14ac:dyDescent="0.45">
      <c r="A11" t="s">
        <v>58</v>
      </c>
      <c r="B11" t="s">
        <v>29</v>
      </c>
      <c r="C11" t="s">
        <v>29</v>
      </c>
      <c r="D11" t="s">
        <v>49</v>
      </c>
      <c r="E11">
        <v>20</v>
      </c>
      <c r="F11">
        <v>40</v>
      </c>
      <c r="G11" t="s">
        <v>64</v>
      </c>
      <c r="H11" t="s">
        <v>41</v>
      </c>
      <c r="I11" s="24">
        <v>46020</v>
      </c>
      <c r="J11" t="s">
        <v>117</v>
      </c>
      <c r="K11" t="s">
        <v>117</v>
      </c>
      <c r="L11" t="s">
        <v>117</v>
      </c>
      <c r="M11">
        <v>0</v>
      </c>
      <c r="N11">
        <v>0</v>
      </c>
      <c r="O11">
        <v>5.7142857142857144</v>
      </c>
      <c r="P11">
        <v>0</v>
      </c>
    </row>
    <row r="12" spans="1:16" x14ac:dyDescent="0.45">
      <c r="A12" t="s">
        <v>59</v>
      </c>
      <c r="B12" t="s">
        <v>29</v>
      </c>
      <c r="C12" t="s">
        <v>29</v>
      </c>
      <c r="D12" t="s">
        <v>60</v>
      </c>
      <c r="E12">
        <v>15</v>
      </c>
      <c r="F12">
        <v>20</v>
      </c>
      <c r="G12" t="s">
        <v>64</v>
      </c>
      <c r="H12" t="s">
        <v>41</v>
      </c>
      <c r="I12" s="24">
        <v>46020</v>
      </c>
      <c r="J12" t="s">
        <v>117</v>
      </c>
      <c r="K12" t="s">
        <v>117</v>
      </c>
      <c r="L12" t="s">
        <v>117</v>
      </c>
      <c r="M12">
        <v>0</v>
      </c>
      <c r="N12">
        <v>0</v>
      </c>
      <c r="O12">
        <v>2.8571428571428572</v>
      </c>
      <c r="P12">
        <v>0</v>
      </c>
    </row>
    <row r="13" spans="1:16" x14ac:dyDescent="0.45">
      <c r="A13" t="s">
        <v>61</v>
      </c>
      <c r="B13" t="s">
        <v>29</v>
      </c>
      <c r="C13" t="s">
        <v>29</v>
      </c>
      <c r="D13" t="s">
        <v>60</v>
      </c>
      <c r="E13">
        <v>15</v>
      </c>
      <c r="F13">
        <v>20</v>
      </c>
      <c r="G13" t="s">
        <v>64</v>
      </c>
      <c r="H13" t="s">
        <v>46</v>
      </c>
      <c r="I13" s="24">
        <v>46020</v>
      </c>
      <c r="J13" t="s">
        <v>117</v>
      </c>
      <c r="K13" t="s">
        <v>117</v>
      </c>
      <c r="L13" t="s">
        <v>117</v>
      </c>
      <c r="M13">
        <v>4.9999999999999982</v>
      </c>
      <c r="N13">
        <v>74.999999999999972</v>
      </c>
      <c r="O13">
        <v>2.8571428571428572</v>
      </c>
      <c r="P13">
        <v>0</v>
      </c>
    </row>
    <row r="14" spans="1:16" x14ac:dyDescent="0.45">
      <c r="A14" t="s">
        <v>62</v>
      </c>
      <c r="B14" t="s">
        <v>29</v>
      </c>
      <c r="C14" t="s">
        <v>29</v>
      </c>
      <c r="D14" t="s">
        <v>60</v>
      </c>
      <c r="E14">
        <v>15</v>
      </c>
      <c r="F14">
        <v>20</v>
      </c>
      <c r="G14" t="s">
        <v>64</v>
      </c>
      <c r="H14" t="s">
        <v>40</v>
      </c>
      <c r="I14" s="24">
        <v>46020</v>
      </c>
      <c r="J14" t="s">
        <v>117</v>
      </c>
      <c r="K14" t="s">
        <v>117</v>
      </c>
      <c r="L14" t="s">
        <v>117</v>
      </c>
      <c r="M14">
        <v>5</v>
      </c>
      <c r="N14">
        <v>75</v>
      </c>
      <c r="O14">
        <v>2.8571428571428572</v>
      </c>
      <c r="P14">
        <v>0</v>
      </c>
    </row>
    <row r="15" spans="1:16" x14ac:dyDescent="0.45">
      <c r="A15" t="s">
        <v>48</v>
      </c>
      <c r="B15" t="s">
        <v>30</v>
      </c>
      <c r="C15" t="s">
        <v>28</v>
      </c>
      <c r="D15" t="s">
        <v>49</v>
      </c>
      <c r="E15">
        <v>30</v>
      </c>
      <c r="F15">
        <v>40</v>
      </c>
      <c r="G15" t="s">
        <v>65</v>
      </c>
      <c r="H15" t="s">
        <v>40</v>
      </c>
      <c r="I15" s="24">
        <v>46021</v>
      </c>
      <c r="J15" t="s">
        <v>117</v>
      </c>
      <c r="K15" t="s">
        <v>117</v>
      </c>
      <c r="L15" t="s">
        <v>117</v>
      </c>
      <c r="M15">
        <v>5</v>
      </c>
      <c r="N15">
        <v>150</v>
      </c>
      <c r="O15">
        <v>5.7142857142857144</v>
      </c>
      <c r="P15">
        <v>0</v>
      </c>
    </row>
    <row r="16" spans="1:16" x14ac:dyDescent="0.45">
      <c r="A16" t="s">
        <v>50</v>
      </c>
      <c r="B16" t="s">
        <v>27</v>
      </c>
      <c r="C16" t="s">
        <v>28</v>
      </c>
      <c r="D16" t="s">
        <v>49</v>
      </c>
      <c r="E16">
        <v>25</v>
      </c>
      <c r="F16">
        <v>40</v>
      </c>
      <c r="G16" t="s">
        <v>65</v>
      </c>
      <c r="H16" t="s">
        <v>41</v>
      </c>
      <c r="I16" s="24">
        <v>46021</v>
      </c>
      <c r="J16" t="s">
        <v>117</v>
      </c>
      <c r="K16" t="s">
        <v>117</v>
      </c>
      <c r="L16" t="s">
        <v>117</v>
      </c>
      <c r="M16">
        <v>0</v>
      </c>
      <c r="N16">
        <v>0</v>
      </c>
      <c r="O16">
        <v>5.7142857142857144</v>
      </c>
      <c r="P16">
        <v>0</v>
      </c>
    </row>
    <row r="17" spans="1:16" x14ac:dyDescent="0.45">
      <c r="A17" t="s">
        <v>51</v>
      </c>
      <c r="B17" t="s">
        <v>27</v>
      </c>
      <c r="C17" t="s">
        <v>28</v>
      </c>
      <c r="D17" t="s">
        <v>49</v>
      </c>
      <c r="E17">
        <v>25</v>
      </c>
      <c r="F17">
        <v>40</v>
      </c>
      <c r="G17" t="s">
        <v>65</v>
      </c>
      <c r="H17" t="s">
        <v>35</v>
      </c>
      <c r="I17" s="24">
        <v>46021</v>
      </c>
      <c r="J17" t="s">
        <v>117</v>
      </c>
      <c r="K17" t="s">
        <v>117</v>
      </c>
      <c r="L17" t="s">
        <v>117</v>
      </c>
      <c r="M17">
        <v>7</v>
      </c>
      <c r="N17">
        <v>175</v>
      </c>
      <c r="O17">
        <v>5.7142857142857144</v>
      </c>
      <c r="P17">
        <v>0</v>
      </c>
    </row>
    <row r="18" spans="1:16" x14ac:dyDescent="0.45">
      <c r="A18" t="s">
        <v>52</v>
      </c>
      <c r="B18" t="s">
        <v>26</v>
      </c>
      <c r="C18" t="s">
        <v>26</v>
      </c>
      <c r="D18" t="s">
        <v>49</v>
      </c>
      <c r="E18">
        <v>35</v>
      </c>
      <c r="F18">
        <v>40</v>
      </c>
      <c r="G18" t="s">
        <v>65</v>
      </c>
      <c r="H18" t="s">
        <v>41</v>
      </c>
      <c r="I18" s="24">
        <v>46021</v>
      </c>
      <c r="J18" t="s">
        <v>117</v>
      </c>
      <c r="K18" t="s">
        <v>117</v>
      </c>
      <c r="L18" t="s">
        <v>117</v>
      </c>
      <c r="M18">
        <v>0</v>
      </c>
      <c r="N18">
        <v>0</v>
      </c>
      <c r="O18">
        <v>5.7142857142857144</v>
      </c>
      <c r="P18">
        <v>0</v>
      </c>
    </row>
    <row r="19" spans="1:16" x14ac:dyDescent="0.45">
      <c r="A19" t="s">
        <v>53</v>
      </c>
      <c r="B19" t="s">
        <v>26</v>
      </c>
      <c r="C19" t="s">
        <v>26</v>
      </c>
      <c r="D19" t="s">
        <v>49</v>
      </c>
      <c r="E19">
        <v>35</v>
      </c>
      <c r="F19">
        <v>40</v>
      </c>
      <c r="G19" t="s">
        <v>65</v>
      </c>
      <c r="H19" t="s">
        <v>42</v>
      </c>
      <c r="I19" s="24">
        <v>46021</v>
      </c>
      <c r="J19" t="s">
        <v>117</v>
      </c>
      <c r="K19" t="s">
        <v>117</v>
      </c>
      <c r="L19" t="s">
        <v>117</v>
      </c>
      <c r="M19">
        <v>7.9999999999999982</v>
      </c>
      <c r="N19">
        <v>279.99999999999994</v>
      </c>
      <c r="O19">
        <v>5.7142857142857144</v>
      </c>
      <c r="P19">
        <v>0</v>
      </c>
    </row>
    <row r="20" spans="1:16" x14ac:dyDescent="0.45">
      <c r="A20" t="s">
        <v>54</v>
      </c>
      <c r="B20" t="s">
        <v>25</v>
      </c>
      <c r="C20" t="s">
        <v>26</v>
      </c>
      <c r="D20" t="s">
        <v>49</v>
      </c>
      <c r="E20">
        <v>28</v>
      </c>
      <c r="F20">
        <v>40</v>
      </c>
      <c r="G20" t="s">
        <v>65</v>
      </c>
      <c r="H20" t="s">
        <v>42</v>
      </c>
      <c r="I20" s="24">
        <v>46021</v>
      </c>
      <c r="J20" t="s">
        <v>117</v>
      </c>
      <c r="K20" t="s">
        <v>117</v>
      </c>
      <c r="L20" t="s">
        <v>117</v>
      </c>
      <c r="M20">
        <v>7.9999999999999982</v>
      </c>
      <c r="N20">
        <v>223.99999999999994</v>
      </c>
      <c r="O20">
        <v>5.7142857142857144</v>
      </c>
      <c r="P20">
        <v>0</v>
      </c>
    </row>
    <row r="21" spans="1:16" x14ac:dyDescent="0.45">
      <c r="A21" t="s">
        <v>55</v>
      </c>
      <c r="B21" t="s">
        <v>25</v>
      </c>
      <c r="C21" t="s">
        <v>26</v>
      </c>
      <c r="D21" t="s">
        <v>49</v>
      </c>
      <c r="E21">
        <v>28</v>
      </c>
      <c r="F21">
        <v>40</v>
      </c>
      <c r="G21" t="s">
        <v>65</v>
      </c>
      <c r="H21" t="s">
        <v>44</v>
      </c>
      <c r="I21" s="24">
        <v>46021</v>
      </c>
      <c r="J21" t="s">
        <v>117</v>
      </c>
      <c r="K21" t="s">
        <v>117</v>
      </c>
      <c r="L21" t="s">
        <v>117</v>
      </c>
      <c r="M21">
        <v>8</v>
      </c>
      <c r="N21">
        <v>224</v>
      </c>
      <c r="O21">
        <v>5.7142857142857144</v>
      </c>
      <c r="P21">
        <v>0</v>
      </c>
    </row>
    <row r="22" spans="1:16" x14ac:dyDescent="0.45">
      <c r="A22" t="s">
        <v>56</v>
      </c>
      <c r="B22" t="s">
        <v>29</v>
      </c>
      <c r="C22" t="s">
        <v>29</v>
      </c>
      <c r="D22" t="s">
        <v>49</v>
      </c>
      <c r="E22">
        <v>20</v>
      </c>
      <c r="F22">
        <v>40</v>
      </c>
      <c r="G22" t="s">
        <v>65</v>
      </c>
      <c r="H22" t="s">
        <v>45</v>
      </c>
      <c r="I22" s="24">
        <v>46021</v>
      </c>
      <c r="J22" t="s">
        <v>117</v>
      </c>
      <c r="K22" t="s">
        <v>117</v>
      </c>
      <c r="L22" t="s">
        <v>117</v>
      </c>
      <c r="M22">
        <v>7.9999999999999982</v>
      </c>
      <c r="N22">
        <v>159.99999999999997</v>
      </c>
      <c r="O22">
        <v>5.7142857142857144</v>
      </c>
      <c r="P22">
        <v>0</v>
      </c>
    </row>
    <row r="23" spans="1:16" x14ac:dyDescent="0.45">
      <c r="A23" t="s">
        <v>57</v>
      </c>
      <c r="B23" t="s">
        <v>29</v>
      </c>
      <c r="C23" t="s">
        <v>29</v>
      </c>
      <c r="D23" t="s">
        <v>49</v>
      </c>
      <c r="E23">
        <v>20</v>
      </c>
      <c r="F23">
        <v>40</v>
      </c>
      <c r="G23" t="s">
        <v>65</v>
      </c>
      <c r="H23" t="s">
        <v>44</v>
      </c>
      <c r="I23" s="24">
        <v>46021</v>
      </c>
      <c r="J23" t="s">
        <v>117</v>
      </c>
      <c r="K23" t="s">
        <v>117</v>
      </c>
      <c r="L23" t="s">
        <v>117</v>
      </c>
      <c r="M23">
        <v>8</v>
      </c>
      <c r="N23">
        <v>160</v>
      </c>
      <c r="O23">
        <v>5.7142857142857144</v>
      </c>
      <c r="P23">
        <v>0</v>
      </c>
    </row>
    <row r="24" spans="1:16" x14ac:dyDescent="0.45">
      <c r="A24" t="s">
        <v>58</v>
      </c>
      <c r="B24" t="s">
        <v>29</v>
      </c>
      <c r="C24" t="s">
        <v>29</v>
      </c>
      <c r="D24" t="s">
        <v>49</v>
      </c>
      <c r="E24">
        <v>20</v>
      </c>
      <c r="F24">
        <v>40</v>
      </c>
      <c r="G24" t="s">
        <v>65</v>
      </c>
      <c r="H24" t="s">
        <v>41</v>
      </c>
      <c r="I24" s="24">
        <v>46021</v>
      </c>
      <c r="J24" t="s">
        <v>117</v>
      </c>
      <c r="K24" t="s">
        <v>117</v>
      </c>
      <c r="L24" t="s">
        <v>117</v>
      </c>
      <c r="M24">
        <v>0</v>
      </c>
      <c r="N24">
        <v>0</v>
      </c>
      <c r="O24">
        <v>5.7142857142857144</v>
      </c>
      <c r="P24">
        <v>0</v>
      </c>
    </row>
    <row r="25" spans="1:16" x14ac:dyDescent="0.45">
      <c r="A25" t="s">
        <v>59</v>
      </c>
      <c r="B25" t="s">
        <v>29</v>
      </c>
      <c r="C25" t="s">
        <v>29</v>
      </c>
      <c r="D25" t="s">
        <v>60</v>
      </c>
      <c r="E25">
        <v>15</v>
      </c>
      <c r="F25">
        <v>20</v>
      </c>
      <c r="G25" t="s">
        <v>65</v>
      </c>
      <c r="H25" t="s">
        <v>46</v>
      </c>
      <c r="I25" s="24">
        <v>46021</v>
      </c>
      <c r="J25" t="s">
        <v>117</v>
      </c>
      <c r="K25" t="s">
        <v>117</v>
      </c>
      <c r="L25" t="s">
        <v>117</v>
      </c>
      <c r="M25">
        <v>4.9999999999999982</v>
      </c>
      <c r="N25">
        <v>74.999999999999972</v>
      </c>
      <c r="O25">
        <v>2.8571428571428572</v>
      </c>
      <c r="P25">
        <v>0</v>
      </c>
    </row>
    <row r="26" spans="1:16" x14ac:dyDescent="0.45">
      <c r="A26" t="s">
        <v>61</v>
      </c>
      <c r="B26" t="s">
        <v>29</v>
      </c>
      <c r="C26" t="s">
        <v>29</v>
      </c>
      <c r="D26" t="s">
        <v>60</v>
      </c>
      <c r="E26">
        <v>15</v>
      </c>
      <c r="F26">
        <v>20</v>
      </c>
      <c r="G26" t="s">
        <v>65</v>
      </c>
      <c r="H26" t="s">
        <v>39</v>
      </c>
      <c r="I26" s="24">
        <v>46021</v>
      </c>
      <c r="J26" t="s">
        <v>117</v>
      </c>
      <c r="K26" t="s">
        <v>117</v>
      </c>
      <c r="L26" t="s">
        <v>117</v>
      </c>
      <c r="M26">
        <v>4.9999999999999982</v>
      </c>
      <c r="N26">
        <v>74.999999999999972</v>
      </c>
      <c r="O26">
        <v>2.8571428571428572</v>
      </c>
      <c r="P26">
        <v>0</v>
      </c>
    </row>
    <row r="27" spans="1:16" x14ac:dyDescent="0.45">
      <c r="A27" t="s">
        <v>62</v>
      </c>
      <c r="B27" t="s">
        <v>29</v>
      </c>
      <c r="C27" t="s">
        <v>29</v>
      </c>
      <c r="D27" t="s">
        <v>60</v>
      </c>
      <c r="E27">
        <v>15</v>
      </c>
      <c r="F27">
        <v>20</v>
      </c>
      <c r="G27" t="s">
        <v>65</v>
      </c>
      <c r="H27" t="s">
        <v>41</v>
      </c>
      <c r="I27" s="24">
        <v>46021</v>
      </c>
      <c r="J27" t="s">
        <v>117</v>
      </c>
      <c r="K27" t="s">
        <v>117</v>
      </c>
      <c r="L27" t="s">
        <v>117</v>
      </c>
      <c r="M27">
        <v>0</v>
      </c>
      <c r="N27">
        <v>0</v>
      </c>
      <c r="O27">
        <v>2.8571428571428572</v>
      </c>
      <c r="P27">
        <v>0</v>
      </c>
    </row>
    <row r="28" spans="1:16" x14ac:dyDescent="0.45">
      <c r="A28" t="s">
        <v>48</v>
      </c>
      <c r="B28" t="s">
        <v>30</v>
      </c>
      <c r="C28" t="s">
        <v>28</v>
      </c>
      <c r="D28" t="s">
        <v>49</v>
      </c>
      <c r="E28">
        <v>30</v>
      </c>
      <c r="F28">
        <v>40</v>
      </c>
      <c r="G28" t="s">
        <v>66</v>
      </c>
      <c r="H28" t="s">
        <v>41</v>
      </c>
      <c r="I28" s="24">
        <v>46022</v>
      </c>
      <c r="J28" t="s">
        <v>117</v>
      </c>
      <c r="K28" t="s">
        <v>117</v>
      </c>
      <c r="L28" t="s">
        <v>117</v>
      </c>
      <c r="M28">
        <v>0</v>
      </c>
      <c r="N28">
        <v>0</v>
      </c>
      <c r="O28">
        <v>5.7142857142857144</v>
      </c>
      <c r="P28">
        <v>0</v>
      </c>
    </row>
    <row r="29" spans="1:16" x14ac:dyDescent="0.45">
      <c r="A29" t="s">
        <v>50</v>
      </c>
      <c r="B29" t="s">
        <v>27</v>
      </c>
      <c r="C29" t="s">
        <v>28</v>
      </c>
      <c r="D29" t="s">
        <v>49</v>
      </c>
      <c r="E29">
        <v>25</v>
      </c>
      <c r="F29">
        <v>40</v>
      </c>
      <c r="G29" t="s">
        <v>66</v>
      </c>
      <c r="H29" t="s">
        <v>37</v>
      </c>
      <c r="I29" s="24">
        <v>46022</v>
      </c>
      <c r="J29" t="s">
        <v>117</v>
      </c>
      <c r="K29" t="s">
        <v>117</v>
      </c>
      <c r="L29" t="s">
        <v>117</v>
      </c>
      <c r="M29">
        <v>7</v>
      </c>
      <c r="N29">
        <v>175</v>
      </c>
      <c r="O29">
        <v>5.7142857142857144</v>
      </c>
      <c r="P29">
        <v>0</v>
      </c>
    </row>
    <row r="30" spans="1:16" x14ac:dyDescent="0.45">
      <c r="A30" t="s">
        <v>51</v>
      </c>
      <c r="B30" t="s">
        <v>27</v>
      </c>
      <c r="C30" t="s">
        <v>28</v>
      </c>
      <c r="D30" t="s">
        <v>49</v>
      </c>
      <c r="E30">
        <v>25</v>
      </c>
      <c r="F30">
        <v>40</v>
      </c>
      <c r="G30" t="s">
        <v>66</v>
      </c>
      <c r="H30" t="s">
        <v>35</v>
      </c>
      <c r="I30" s="24">
        <v>46022</v>
      </c>
      <c r="J30" t="s">
        <v>117</v>
      </c>
      <c r="K30" t="s">
        <v>117</v>
      </c>
      <c r="L30" t="s">
        <v>117</v>
      </c>
      <c r="M30">
        <v>7</v>
      </c>
      <c r="N30">
        <v>175</v>
      </c>
      <c r="O30">
        <v>5.7142857142857144</v>
      </c>
      <c r="P30">
        <v>0</v>
      </c>
    </row>
    <row r="31" spans="1:16" x14ac:dyDescent="0.45">
      <c r="A31" t="s">
        <v>52</v>
      </c>
      <c r="B31" t="s">
        <v>26</v>
      </c>
      <c r="C31" t="s">
        <v>26</v>
      </c>
      <c r="D31" t="s">
        <v>49</v>
      </c>
      <c r="E31">
        <v>35</v>
      </c>
      <c r="F31">
        <v>40</v>
      </c>
      <c r="G31" t="s">
        <v>66</v>
      </c>
      <c r="H31" t="s">
        <v>41</v>
      </c>
      <c r="I31" s="24">
        <v>46022</v>
      </c>
      <c r="J31" t="s">
        <v>117</v>
      </c>
      <c r="K31" t="s">
        <v>117</v>
      </c>
      <c r="L31" t="s">
        <v>117</v>
      </c>
      <c r="M31">
        <v>0</v>
      </c>
      <c r="N31">
        <v>0</v>
      </c>
      <c r="O31">
        <v>5.7142857142857144</v>
      </c>
      <c r="P31">
        <v>0</v>
      </c>
    </row>
    <row r="32" spans="1:16" x14ac:dyDescent="0.45">
      <c r="A32" t="s">
        <v>53</v>
      </c>
      <c r="B32" t="s">
        <v>26</v>
      </c>
      <c r="C32" t="s">
        <v>26</v>
      </c>
      <c r="D32" t="s">
        <v>49</v>
      </c>
      <c r="E32">
        <v>35</v>
      </c>
      <c r="F32">
        <v>40</v>
      </c>
      <c r="G32" t="s">
        <v>66</v>
      </c>
      <c r="H32" t="s">
        <v>44</v>
      </c>
      <c r="I32" s="24">
        <v>46022</v>
      </c>
      <c r="J32" t="s">
        <v>117</v>
      </c>
      <c r="K32" t="s">
        <v>117</v>
      </c>
      <c r="L32" t="s">
        <v>117</v>
      </c>
      <c r="M32">
        <v>8</v>
      </c>
      <c r="N32">
        <v>280</v>
      </c>
      <c r="O32">
        <v>5.7142857142857144</v>
      </c>
      <c r="P32">
        <v>0</v>
      </c>
    </row>
    <row r="33" spans="1:16" x14ac:dyDescent="0.45">
      <c r="A33" t="s">
        <v>54</v>
      </c>
      <c r="B33" t="s">
        <v>25</v>
      </c>
      <c r="C33" t="s">
        <v>26</v>
      </c>
      <c r="D33" t="s">
        <v>49</v>
      </c>
      <c r="E33">
        <v>28</v>
      </c>
      <c r="F33">
        <v>40</v>
      </c>
      <c r="G33" t="s">
        <v>66</v>
      </c>
      <c r="H33" t="s">
        <v>42</v>
      </c>
      <c r="I33" s="24">
        <v>46022</v>
      </c>
      <c r="J33" t="s">
        <v>117</v>
      </c>
      <c r="K33" t="s">
        <v>117</v>
      </c>
      <c r="L33" t="s">
        <v>117</v>
      </c>
      <c r="M33">
        <v>7.9999999999999982</v>
      </c>
      <c r="N33">
        <v>223.99999999999994</v>
      </c>
      <c r="O33">
        <v>5.7142857142857144</v>
      </c>
      <c r="P33">
        <v>0</v>
      </c>
    </row>
    <row r="34" spans="1:16" x14ac:dyDescent="0.45">
      <c r="A34" t="s">
        <v>55</v>
      </c>
      <c r="B34" t="s">
        <v>25</v>
      </c>
      <c r="C34" t="s">
        <v>26</v>
      </c>
      <c r="D34" t="s">
        <v>49</v>
      </c>
      <c r="E34">
        <v>28</v>
      </c>
      <c r="F34">
        <v>40</v>
      </c>
      <c r="G34" t="s">
        <v>66</v>
      </c>
      <c r="H34" t="s">
        <v>44</v>
      </c>
      <c r="I34" s="24">
        <v>46022</v>
      </c>
      <c r="J34" t="s">
        <v>117</v>
      </c>
      <c r="K34" t="s">
        <v>117</v>
      </c>
      <c r="L34" t="s">
        <v>117</v>
      </c>
      <c r="M34">
        <v>8</v>
      </c>
      <c r="N34">
        <v>224</v>
      </c>
      <c r="O34">
        <v>5.7142857142857144</v>
      </c>
      <c r="P34">
        <v>0</v>
      </c>
    </row>
    <row r="35" spans="1:16" x14ac:dyDescent="0.45">
      <c r="A35" t="s">
        <v>56</v>
      </c>
      <c r="B35" t="s">
        <v>29</v>
      </c>
      <c r="C35" t="s">
        <v>29</v>
      </c>
      <c r="D35" t="s">
        <v>49</v>
      </c>
      <c r="E35">
        <v>20</v>
      </c>
      <c r="F35">
        <v>40</v>
      </c>
      <c r="G35" t="s">
        <v>66</v>
      </c>
      <c r="H35" t="s">
        <v>41</v>
      </c>
      <c r="I35" s="24">
        <v>46022</v>
      </c>
      <c r="J35" t="s">
        <v>117</v>
      </c>
      <c r="K35" t="s">
        <v>117</v>
      </c>
      <c r="L35" t="s">
        <v>117</v>
      </c>
      <c r="M35">
        <v>0</v>
      </c>
      <c r="N35">
        <v>0</v>
      </c>
      <c r="O35">
        <v>5.7142857142857144</v>
      </c>
      <c r="P35">
        <v>0</v>
      </c>
    </row>
    <row r="36" spans="1:16" x14ac:dyDescent="0.45">
      <c r="A36" t="s">
        <v>57</v>
      </c>
      <c r="B36" t="s">
        <v>29</v>
      </c>
      <c r="C36" t="s">
        <v>29</v>
      </c>
      <c r="D36" t="s">
        <v>49</v>
      </c>
      <c r="E36">
        <v>20</v>
      </c>
      <c r="F36">
        <v>40</v>
      </c>
      <c r="G36" t="s">
        <v>66</v>
      </c>
      <c r="H36" t="s">
        <v>44</v>
      </c>
      <c r="I36" s="24">
        <v>46022</v>
      </c>
      <c r="J36" t="s">
        <v>117</v>
      </c>
      <c r="K36" t="s">
        <v>117</v>
      </c>
      <c r="L36" t="s">
        <v>117</v>
      </c>
      <c r="M36">
        <v>8</v>
      </c>
      <c r="N36">
        <v>160</v>
      </c>
      <c r="O36">
        <v>5.7142857142857144</v>
      </c>
      <c r="P36">
        <v>0</v>
      </c>
    </row>
    <row r="37" spans="1:16" x14ac:dyDescent="0.45">
      <c r="A37" t="s">
        <v>58</v>
      </c>
      <c r="B37" t="s">
        <v>29</v>
      </c>
      <c r="C37" t="s">
        <v>29</v>
      </c>
      <c r="D37" t="s">
        <v>49</v>
      </c>
      <c r="E37">
        <v>20</v>
      </c>
      <c r="F37">
        <v>40</v>
      </c>
      <c r="G37" t="s">
        <v>66</v>
      </c>
      <c r="H37" t="s">
        <v>44</v>
      </c>
      <c r="I37" s="24">
        <v>46022</v>
      </c>
      <c r="J37" t="s">
        <v>117</v>
      </c>
      <c r="K37" t="s">
        <v>117</v>
      </c>
      <c r="L37" t="s">
        <v>117</v>
      </c>
      <c r="M37">
        <v>8</v>
      </c>
      <c r="N37">
        <v>160</v>
      </c>
      <c r="O37">
        <v>5.7142857142857144</v>
      </c>
      <c r="P37">
        <v>0</v>
      </c>
    </row>
    <row r="38" spans="1:16" x14ac:dyDescent="0.45">
      <c r="A38" t="s">
        <v>59</v>
      </c>
      <c r="B38" t="s">
        <v>29</v>
      </c>
      <c r="C38" t="s">
        <v>29</v>
      </c>
      <c r="D38" t="s">
        <v>60</v>
      </c>
      <c r="E38">
        <v>15</v>
      </c>
      <c r="F38">
        <v>20</v>
      </c>
      <c r="G38" t="s">
        <v>66</v>
      </c>
      <c r="H38" t="s">
        <v>46</v>
      </c>
      <c r="I38" s="24">
        <v>46022</v>
      </c>
      <c r="J38" t="s">
        <v>117</v>
      </c>
      <c r="K38" t="s">
        <v>117</v>
      </c>
      <c r="L38" t="s">
        <v>117</v>
      </c>
      <c r="M38">
        <v>4.9999999999999982</v>
      </c>
      <c r="N38">
        <v>74.999999999999972</v>
      </c>
      <c r="O38">
        <v>2.8571428571428572</v>
      </c>
      <c r="P38">
        <v>0</v>
      </c>
    </row>
    <row r="39" spans="1:16" x14ac:dyDescent="0.45">
      <c r="A39" t="s">
        <v>61</v>
      </c>
      <c r="B39" t="s">
        <v>29</v>
      </c>
      <c r="C39" t="s">
        <v>29</v>
      </c>
      <c r="D39" t="s">
        <v>60</v>
      </c>
      <c r="E39">
        <v>15</v>
      </c>
      <c r="F39">
        <v>20</v>
      </c>
      <c r="G39" t="s">
        <v>66</v>
      </c>
      <c r="H39" t="s">
        <v>41</v>
      </c>
      <c r="I39" s="24">
        <v>46022</v>
      </c>
      <c r="J39" t="s">
        <v>117</v>
      </c>
      <c r="K39" t="s">
        <v>117</v>
      </c>
      <c r="L39" t="s">
        <v>117</v>
      </c>
      <c r="M39">
        <v>0</v>
      </c>
      <c r="N39">
        <v>0</v>
      </c>
      <c r="O39">
        <v>2.8571428571428572</v>
      </c>
      <c r="P39">
        <v>0</v>
      </c>
    </row>
    <row r="40" spans="1:16" x14ac:dyDescent="0.45">
      <c r="A40" t="s">
        <v>62</v>
      </c>
      <c r="B40" t="s">
        <v>29</v>
      </c>
      <c r="C40" t="s">
        <v>29</v>
      </c>
      <c r="D40" t="s">
        <v>60</v>
      </c>
      <c r="E40">
        <v>15</v>
      </c>
      <c r="F40">
        <v>20</v>
      </c>
      <c r="G40" t="s">
        <v>66</v>
      </c>
      <c r="H40" t="s">
        <v>41</v>
      </c>
      <c r="I40" s="24">
        <v>46022</v>
      </c>
      <c r="J40" t="s">
        <v>117</v>
      </c>
      <c r="K40" t="s">
        <v>117</v>
      </c>
      <c r="L40" t="s">
        <v>117</v>
      </c>
      <c r="M40">
        <v>0</v>
      </c>
      <c r="N40">
        <v>0</v>
      </c>
      <c r="O40">
        <v>2.8571428571428572</v>
      </c>
      <c r="P40">
        <v>0</v>
      </c>
    </row>
    <row r="41" spans="1:16" x14ac:dyDescent="0.45">
      <c r="A41" t="s">
        <v>48</v>
      </c>
      <c r="B41" t="s">
        <v>30</v>
      </c>
      <c r="C41" t="s">
        <v>28</v>
      </c>
      <c r="D41" t="s">
        <v>49</v>
      </c>
      <c r="E41">
        <v>30</v>
      </c>
      <c r="F41">
        <v>40</v>
      </c>
      <c r="G41" t="s">
        <v>67</v>
      </c>
      <c r="H41" t="s">
        <v>35</v>
      </c>
      <c r="I41" s="24">
        <v>46023</v>
      </c>
      <c r="J41" t="s">
        <v>117</v>
      </c>
      <c r="K41" t="s">
        <v>118</v>
      </c>
      <c r="L41" t="s">
        <v>118</v>
      </c>
      <c r="M41">
        <v>7</v>
      </c>
      <c r="N41">
        <v>420</v>
      </c>
      <c r="O41">
        <v>5.7142857142857144</v>
      </c>
      <c r="P41">
        <v>1</v>
      </c>
    </row>
    <row r="42" spans="1:16" x14ac:dyDescent="0.45">
      <c r="A42" t="s">
        <v>50</v>
      </c>
      <c r="B42" t="s">
        <v>27</v>
      </c>
      <c r="C42" t="s">
        <v>28</v>
      </c>
      <c r="D42" t="s">
        <v>49</v>
      </c>
      <c r="E42">
        <v>25</v>
      </c>
      <c r="F42">
        <v>40</v>
      </c>
      <c r="G42" t="s">
        <v>67</v>
      </c>
      <c r="H42" t="s">
        <v>37</v>
      </c>
      <c r="I42" s="24">
        <v>46023</v>
      </c>
      <c r="J42" t="s">
        <v>117</v>
      </c>
      <c r="K42" t="s">
        <v>118</v>
      </c>
      <c r="L42" t="s">
        <v>118</v>
      </c>
      <c r="M42">
        <v>7</v>
      </c>
      <c r="N42">
        <v>350</v>
      </c>
      <c r="O42">
        <v>5.7142857142857144</v>
      </c>
      <c r="P42">
        <v>1</v>
      </c>
    </row>
    <row r="43" spans="1:16" x14ac:dyDescent="0.45">
      <c r="A43" t="s">
        <v>51</v>
      </c>
      <c r="B43" t="s">
        <v>27</v>
      </c>
      <c r="C43" t="s">
        <v>28</v>
      </c>
      <c r="D43" t="s">
        <v>49</v>
      </c>
      <c r="E43">
        <v>25</v>
      </c>
      <c r="F43">
        <v>40</v>
      </c>
      <c r="G43" t="s">
        <v>67</v>
      </c>
      <c r="H43" t="s">
        <v>35</v>
      </c>
      <c r="I43" s="24">
        <v>46023</v>
      </c>
      <c r="J43" t="s">
        <v>117</v>
      </c>
      <c r="K43" t="s">
        <v>118</v>
      </c>
      <c r="L43" t="s">
        <v>118</v>
      </c>
      <c r="M43">
        <v>7</v>
      </c>
      <c r="N43">
        <v>350</v>
      </c>
      <c r="O43">
        <v>5.7142857142857144</v>
      </c>
      <c r="P43">
        <v>1</v>
      </c>
    </row>
    <row r="44" spans="1:16" x14ac:dyDescent="0.45">
      <c r="A44" t="s">
        <v>52</v>
      </c>
      <c r="B44" t="s">
        <v>26</v>
      </c>
      <c r="C44" t="s">
        <v>26</v>
      </c>
      <c r="D44" t="s">
        <v>49</v>
      </c>
      <c r="E44">
        <v>35</v>
      </c>
      <c r="F44">
        <v>40</v>
      </c>
      <c r="G44" t="s">
        <v>67</v>
      </c>
      <c r="H44" t="s">
        <v>41</v>
      </c>
      <c r="I44" s="24">
        <v>46023</v>
      </c>
      <c r="J44" t="s">
        <v>117</v>
      </c>
      <c r="K44" t="s">
        <v>118</v>
      </c>
      <c r="L44" t="s">
        <v>118</v>
      </c>
      <c r="M44">
        <v>0</v>
      </c>
      <c r="N44">
        <v>0</v>
      </c>
      <c r="O44">
        <v>5.7142857142857144</v>
      </c>
      <c r="P44">
        <v>0</v>
      </c>
    </row>
    <row r="45" spans="1:16" x14ac:dyDescent="0.45">
      <c r="A45" t="s">
        <v>53</v>
      </c>
      <c r="B45" t="s">
        <v>26</v>
      </c>
      <c r="C45" t="s">
        <v>26</v>
      </c>
      <c r="D45" t="s">
        <v>49</v>
      </c>
      <c r="E45">
        <v>35</v>
      </c>
      <c r="F45">
        <v>40</v>
      </c>
      <c r="G45" t="s">
        <v>67</v>
      </c>
      <c r="H45" t="s">
        <v>41</v>
      </c>
      <c r="I45" s="24">
        <v>46023</v>
      </c>
      <c r="J45" t="s">
        <v>117</v>
      </c>
      <c r="K45" t="s">
        <v>118</v>
      </c>
      <c r="L45" t="s">
        <v>118</v>
      </c>
      <c r="M45">
        <v>0</v>
      </c>
      <c r="N45">
        <v>0</v>
      </c>
      <c r="O45">
        <v>5.7142857142857144</v>
      </c>
      <c r="P45">
        <v>0</v>
      </c>
    </row>
    <row r="46" spans="1:16" x14ac:dyDescent="0.45">
      <c r="A46" t="s">
        <v>54</v>
      </c>
      <c r="B46" t="s">
        <v>25</v>
      </c>
      <c r="C46" t="s">
        <v>26</v>
      </c>
      <c r="D46" t="s">
        <v>49</v>
      </c>
      <c r="E46">
        <v>28</v>
      </c>
      <c r="F46">
        <v>40</v>
      </c>
      <c r="G46" t="s">
        <v>67</v>
      </c>
      <c r="H46" t="s">
        <v>42</v>
      </c>
      <c r="I46" s="24">
        <v>46023</v>
      </c>
      <c r="J46" t="s">
        <v>117</v>
      </c>
      <c r="K46" t="s">
        <v>118</v>
      </c>
      <c r="L46" t="s">
        <v>118</v>
      </c>
      <c r="M46">
        <v>7.9999999999999982</v>
      </c>
      <c r="N46">
        <v>447.99999999999989</v>
      </c>
      <c r="O46">
        <v>5.7142857142857144</v>
      </c>
      <c r="P46">
        <v>1</v>
      </c>
    </row>
    <row r="47" spans="1:16" x14ac:dyDescent="0.45">
      <c r="A47" t="s">
        <v>55</v>
      </c>
      <c r="B47" t="s">
        <v>25</v>
      </c>
      <c r="C47" t="s">
        <v>26</v>
      </c>
      <c r="D47" t="s">
        <v>49</v>
      </c>
      <c r="E47">
        <v>28</v>
      </c>
      <c r="F47">
        <v>40</v>
      </c>
      <c r="G47" t="s">
        <v>67</v>
      </c>
      <c r="H47" t="s">
        <v>44</v>
      </c>
      <c r="I47" s="24">
        <v>46023</v>
      </c>
      <c r="J47" t="s">
        <v>117</v>
      </c>
      <c r="K47" t="s">
        <v>118</v>
      </c>
      <c r="L47" t="s">
        <v>118</v>
      </c>
      <c r="M47">
        <v>8</v>
      </c>
      <c r="N47">
        <v>448</v>
      </c>
      <c r="O47">
        <v>5.7142857142857144</v>
      </c>
      <c r="P47">
        <v>1</v>
      </c>
    </row>
    <row r="48" spans="1:16" x14ac:dyDescent="0.45">
      <c r="A48" t="s">
        <v>56</v>
      </c>
      <c r="B48" t="s">
        <v>29</v>
      </c>
      <c r="C48" t="s">
        <v>29</v>
      </c>
      <c r="D48" t="s">
        <v>49</v>
      </c>
      <c r="E48">
        <v>20</v>
      </c>
      <c r="F48">
        <v>40</v>
      </c>
      <c r="G48" t="s">
        <v>67</v>
      </c>
      <c r="H48" t="s">
        <v>44</v>
      </c>
      <c r="I48" s="24">
        <v>46023</v>
      </c>
      <c r="J48" t="s">
        <v>117</v>
      </c>
      <c r="K48" t="s">
        <v>118</v>
      </c>
      <c r="L48" t="s">
        <v>118</v>
      </c>
      <c r="M48">
        <v>8</v>
      </c>
      <c r="N48">
        <v>320</v>
      </c>
      <c r="O48">
        <v>5.7142857142857144</v>
      </c>
      <c r="P48">
        <v>1</v>
      </c>
    </row>
    <row r="49" spans="1:16" x14ac:dyDescent="0.45">
      <c r="A49" t="s">
        <v>57</v>
      </c>
      <c r="B49" t="s">
        <v>29</v>
      </c>
      <c r="C49" t="s">
        <v>29</v>
      </c>
      <c r="D49" t="s">
        <v>49</v>
      </c>
      <c r="E49">
        <v>20</v>
      </c>
      <c r="F49">
        <v>40</v>
      </c>
      <c r="G49" t="s">
        <v>67</v>
      </c>
      <c r="H49" t="s">
        <v>41</v>
      </c>
      <c r="I49" s="24">
        <v>46023</v>
      </c>
      <c r="J49" t="s">
        <v>117</v>
      </c>
      <c r="K49" t="s">
        <v>118</v>
      </c>
      <c r="L49" t="s">
        <v>118</v>
      </c>
      <c r="M49">
        <v>0</v>
      </c>
      <c r="N49">
        <v>0</v>
      </c>
      <c r="O49">
        <v>5.7142857142857144</v>
      </c>
      <c r="P49">
        <v>0</v>
      </c>
    </row>
    <row r="50" spans="1:16" x14ac:dyDescent="0.45">
      <c r="A50" t="s">
        <v>58</v>
      </c>
      <c r="B50" t="s">
        <v>29</v>
      </c>
      <c r="C50" t="s">
        <v>29</v>
      </c>
      <c r="D50" t="s">
        <v>49</v>
      </c>
      <c r="E50">
        <v>20</v>
      </c>
      <c r="F50">
        <v>40</v>
      </c>
      <c r="G50" t="s">
        <v>67</v>
      </c>
      <c r="H50" t="s">
        <v>46</v>
      </c>
      <c r="I50" s="24">
        <v>46023</v>
      </c>
      <c r="J50" t="s">
        <v>117</v>
      </c>
      <c r="K50" t="s">
        <v>118</v>
      </c>
      <c r="L50" t="s">
        <v>118</v>
      </c>
      <c r="M50">
        <v>4.9999999999999982</v>
      </c>
      <c r="N50">
        <v>199.99999999999994</v>
      </c>
      <c r="O50">
        <v>5.7142857142857144</v>
      </c>
      <c r="P50">
        <v>1</v>
      </c>
    </row>
    <row r="51" spans="1:16" x14ac:dyDescent="0.45">
      <c r="A51" t="s">
        <v>59</v>
      </c>
      <c r="B51" t="s">
        <v>29</v>
      </c>
      <c r="C51" t="s">
        <v>29</v>
      </c>
      <c r="D51" t="s">
        <v>60</v>
      </c>
      <c r="E51">
        <v>15</v>
      </c>
      <c r="F51">
        <v>20</v>
      </c>
      <c r="G51" t="s">
        <v>67</v>
      </c>
      <c r="H51" t="s">
        <v>46</v>
      </c>
      <c r="I51" s="24">
        <v>46023</v>
      </c>
      <c r="J51" t="s">
        <v>117</v>
      </c>
      <c r="K51" t="s">
        <v>118</v>
      </c>
      <c r="L51" t="s">
        <v>118</v>
      </c>
      <c r="M51">
        <v>4.9999999999999982</v>
      </c>
      <c r="N51">
        <v>149.99999999999994</v>
      </c>
      <c r="O51">
        <v>2.8571428571428572</v>
      </c>
      <c r="P51">
        <v>1</v>
      </c>
    </row>
    <row r="52" spans="1:16" x14ac:dyDescent="0.45">
      <c r="A52" t="s">
        <v>61</v>
      </c>
      <c r="B52" t="s">
        <v>29</v>
      </c>
      <c r="C52" t="s">
        <v>29</v>
      </c>
      <c r="D52" t="s">
        <v>60</v>
      </c>
      <c r="E52">
        <v>15</v>
      </c>
      <c r="F52">
        <v>20</v>
      </c>
      <c r="G52" t="s">
        <v>67</v>
      </c>
      <c r="H52" t="s">
        <v>46</v>
      </c>
      <c r="I52" s="24">
        <v>46023</v>
      </c>
      <c r="J52" t="s">
        <v>117</v>
      </c>
      <c r="K52" t="s">
        <v>118</v>
      </c>
      <c r="L52" t="s">
        <v>118</v>
      </c>
      <c r="M52">
        <v>4.9999999999999982</v>
      </c>
      <c r="N52">
        <v>149.99999999999994</v>
      </c>
      <c r="O52">
        <v>2.8571428571428572</v>
      </c>
      <c r="P52">
        <v>1</v>
      </c>
    </row>
    <row r="53" spans="1:16" x14ac:dyDescent="0.45">
      <c r="A53" t="s">
        <v>62</v>
      </c>
      <c r="B53" t="s">
        <v>29</v>
      </c>
      <c r="C53" t="s">
        <v>29</v>
      </c>
      <c r="D53" t="s">
        <v>60</v>
      </c>
      <c r="E53">
        <v>15</v>
      </c>
      <c r="F53">
        <v>20</v>
      </c>
      <c r="G53" t="s">
        <v>67</v>
      </c>
      <c r="H53" t="s">
        <v>39</v>
      </c>
      <c r="I53" s="24">
        <v>46023</v>
      </c>
      <c r="J53" t="s">
        <v>117</v>
      </c>
      <c r="K53" t="s">
        <v>118</v>
      </c>
      <c r="L53" t="s">
        <v>118</v>
      </c>
      <c r="M53">
        <v>4.9999999999999982</v>
      </c>
      <c r="N53">
        <v>149.99999999999994</v>
      </c>
      <c r="O53">
        <v>2.8571428571428572</v>
      </c>
      <c r="P53">
        <v>1</v>
      </c>
    </row>
    <row r="54" spans="1:16" x14ac:dyDescent="0.45">
      <c r="A54" t="s">
        <v>48</v>
      </c>
      <c r="B54" t="s">
        <v>30</v>
      </c>
      <c r="C54" t="s">
        <v>28</v>
      </c>
      <c r="D54" t="s">
        <v>49</v>
      </c>
      <c r="E54">
        <v>30</v>
      </c>
      <c r="F54">
        <v>40</v>
      </c>
      <c r="G54" t="s">
        <v>68</v>
      </c>
      <c r="H54" t="s">
        <v>35</v>
      </c>
      <c r="I54" s="24">
        <v>46024</v>
      </c>
      <c r="J54" t="s">
        <v>117</v>
      </c>
      <c r="K54" t="s">
        <v>117</v>
      </c>
      <c r="L54" t="s">
        <v>117</v>
      </c>
      <c r="M54">
        <v>7</v>
      </c>
      <c r="N54">
        <v>210</v>
      </c>
      <c r="O54">
        <v>5.7142857142857144</v>
      </c>
      <c r="P54">
        <v>0</v>
      </c>
    </row>
    <row r="55" spans="1:16" x14ac:dyDescent="0.45">
      <c r="A55" t="s">
        <v>50</v>
      </c>
      <c r="B55" t="s">
        <v>27</v>
      </c>
      <c r="C55" t="s">
        <v>28</v>
      </c>
      <c r="D55" t="s">
        <v>49</v>
      </c>
      <c r="E55">
        <v>25</v>
      </c>
      <c r="F55">
        <v>40</v>
      </c>
      <c r="G55" t="s">
        <v>68</v>
      </c>
      <c r="H55" t="s">
        <v>37</v>
      </c>
      <c r="I55" s="24">
        <v>46024</v>
      </c>
      <c r="J55" t="s">
        <v>117</v>
      </c>
      <c r="K55" t="s">
        <v>117</v>
      </c>
      <c r="L55" t="s">
        <v>117</v>
      </c>
      <c r="M55">
        <v>7</v>
      </c>
      <c r="N55">
        <v>175</v>
      </c>
      <c r="O55">
        <v>5.7142857142857144</v>
      </c>
      <c r="P55">
        <v>0</v>
      </c>
    </row>
    <row r="56" spans="1:16" x14ac:dyDescent="0.45">
      <c r="A56" t="s">
        <v>51</v>
      </c>
      <c r="B56" t="s">
        <v>27</v>
      </c>
      <c r="C56" t="s">
        <v>28</v>
      </c>
      <c r="D56" t="s">
        <v>49</v>
      </c>
      <c r="E56">
        <v>25</v>
      </c>
      <c r="F56">
        <v>40</v>
      </c>
      <c r="G56" t="s">
        <v>68</v>
      </c>
      <c r="H56" t="s">
        <v>35</v>
      </c>
      <c r="I56" s="24">
        <v>46024</v>
      </c>
      <c r="J56" t="s">
        <v>117</v>
      </c>
      <c r="K56" t="s">
        <v>117</v>
      </c>
      <c r="L56" t="s">
        <v>117</v>
      </c>
      <c r="M56">
        <v>7</v>
      </c>
      <c r="N56">
        <v>175</v>
      </c>
      <c r="O56">
        <v>5.7142857142857144</v>
      </c>
      <c r="P56">
        <v>0</v>
      </c>
    </row>
    <row r="57" spans="1:16" x14ac:dyDescent="0.45">
      <c r="A57" t="s">
        <v>52</v>
      </c>
      <c r="B57" t="s">
        <v>26</v>
      </c>
      <c r="C57" t="s">
        <v>26</v>
      </c>
      <c r="D57" t="s">
        <v>49</v>
      </c>
      <c r="E57">
        <v>35</v>
      </c>
      <c r="F57">
        <v>40</v>
      </c>
      <c r="G57" t="s">
        <v>68</v>
      </c>
      <c r="H57" t="s">
        <v>41</v>
      </c>
      <c r="I57" s="24">
        <v>46024</v>
      </c>
      <c r="J57" t="s">
        <v>117</v>
      </c>
      <c r="K57" t="s">
        <v>117</v>
      </c>
      <c r="L57" t="s">
        <v>117</v>
      </c>
      <c r="M57">
        <v>0</v>
      </c>
      <c r="N57">
        <v>0</v>
      </c>
      <c r="O57">
        <v>5.7142857142857144</v>
      </c>
      <c r="P57">
        <v>0</v>
      </c>
    </row>
    <row r="58" spans="1:16" x14ac:dyDescent="0.45">
      <c r="A58" t="s">
        <v>53</v>
      </c>
      <c r="B58" t="s">
        <v>26</v>
      </c>
      <c r="C58" t="s">
        <v>26</v>
      </c>
      <c r="D58" t="s">
        <v>49</v>
      </c>
      <c r="E58">
        <v>35</v>
      </c>
      <c r="F58">
        <v>40</v>
      </c>
      <c r="G58" t="s">
        <v>68</v>
      </c>
      <c r="H58" t="s">
        <v>41</v>
      </c>
      <c r="I58" s="24">
        <v>46024</v>
      </c>
      <c r="J58" t="s">
        <v>117</v>
      </c>
      <c r="K58" t="s">
        <v>117</v>
      </c>
      <c r="L58" t="s">
        <v>117</v>
      </c>
      <c r="M58">
        <v>0</v>
      </c>
      <c r="N58">
        <v>0</v>
      </c>
      <c r="O58">
        <v>5.7142857142857144</v>
      </c>
      <c r="P58">
        <v>0</v>
      </c>
    </row>
    <row r="59" spans="1:16" x14ac:dyDescent="0.45">
      <c r="A59" t="s">
        <v>54</v>
      </c>
      <c r="B59" t="s">
        <v>25</v>
      </c>
      <c r="C59" t="s">
        <v>26</v>
      </c>
      <c r="D59" t="s">
        <v>49</v>
      </c>
      <c r="E59">
        <v>28</v>
      </c>
      <c r="F59">
        <v>40</v>
      </c>
      <c r="G59" t="s">
        <v>68</v>
      </c>
      <c r="H59" t="s">
        <v>42</v>
      </c>
      <c r="I59" s="24">
        <v>46024</v>
      </c>
      <c r="J59" t="s">
        <v>117</v>
      </c>
      <c r="K59" t="s">
        <v>117</v>
      </c>
      <c r="L59" t="s">
        <v>117</v>
      </c>
      <c r="M59">
        <v>7.9999999999999982</v>
      </c>
      <c r="N59">
        <v>223.99999999999994</v>
      </c>
      <c r="O59">
        <v>5.7142857142857144</v>
      </c>
      <c r="P59">
        <v>0</v>
      </c>
    </row>
    <row r="60" spans="1:16" x14ac:dyDescent="0.45">
      <c r="A60" t="s">
        <v>55</v>
      </c>
      <c r="B60" t="s">
        <v>25</v>
      </c>
      <c r="C60" t="s">
        <v>26</v>
      </c>
      <c r="D60" t="s">
        <v>49</v>
      </c>
      <c r="E60">
        <v>28</v>
      </c>
      <c r="F60">
        <v>40</v>
      </c>
      <c r="G60" t="s">
        <v>68</v>
      </c>
      <c r="H60" t="s">
        <v>44</v>
      </c>
      <c r="I60" s="24">
        <v>46024</v>
      </c>
      <c r="J60" t="s">
        <v>117</v>
      </c>
      <c r="K60" t="s">
        <v>117</v>
      </c>
      <c r="L60" t="s">
        <v>117</v>
      </c>
      <c r="M60">
        <v>8</v>
      </c>
      <c r="N60">
        <v>224</v>
      </c>
      <c r="O60">
        <v>5.7142857142857144</v>
      </c>
      <c r="P60">
        <v>0</v>
      </c>
    </row>
    <row r="61" spans="1:16" x14ac:dyDescent="0.45">
      <c r="A61" t="s">
        <v>56</v>
      </c>
      <c r="B61" t="s">
        <v>29</v>
      </c>
      <c r="C61" t="s">
        <v>29</v>
      </c>
      <c r="D61" t="s">
        <v>49</v>
      </c>
      <c r="E61">
        <v>20</v>
      </c>
      <c r="F61">
        <v>40</v>
      </c>
      <c r="G61" t="s">
        <v>68</v>
      </c>
      <c r="H61" t="s">
        <v>44</v>
      </c>
      <c r="I61" s="24">
        <v>46024</v>
      </c>
      <c r="J61" t="s">
        <v>117</v>
      </c>
      <c r="K61" t="s">
        <v>117</v>
      </c>
      <c r="L61" t="s">
        <v>117</v>
      </c>
      <c r="M61">
        <v>8</v>
      </c>
      <c r="N61">
        <v>160</v>
      </c>
      <c r="O61">
        <v>5.7142857142857144</v>
      </c>
      <c r="P61">
        <v>0</v>
      </c>
    </row>
    <row r="62" spans="1:16" x14ac:dyDescent="0.45">
      <c r="A62" t="s">
        <v>57</v>
      </c>
      <c r="B62" t="s">
        <v>29</v>
      </c>
      <c r="C62" t="s">
        <v>29</v>
      </c>
      <c r="D62" t="s">
        <v>49</v>
      </c>
      <c r="E62">
        <v>20</v>
      </c>
      <c r="F62">
        <v>40</v>
      </c>
      <c r="G62" t="s">
        <v>68</v>
      </c>
      <c r="H62" t="s">
        <v>41</v>
      </c>
      <c r="I62" s="24">
        <v>46024</v>
      </c>
      <c r="J62" t="s">
        <v>117</v>
      </c>
      <c r="K62" t="s">
        <v>117</v>
      </c>
      <c r="L62" t="s">
        <v>117</v>
      </c>
      <c r="M62">
        <v>0</v>
      </c>
      <c r="N62">
        <v>0</v>
      </c>
      <c r="O62">
        <v>5.7142857142857144</v>
      </c>
      <c r="P62">
        <v>0</v>
      </c>
    </row>
    <row r="63" spans="1:16" x14ac:dyDescent="0.45">
      <c r="A63" t="s">
        <v>58</v>
      </c>
      <c r="B63" t="s">
        <v>29</v>
      </c>
      <c r="C63" t="s">
        <v>29</v>
      </c>
      <c r="D63" t="s">
        <v>49</v>
      </c>
      <c r="E63">
        <v>20</v>
      </c>
      <c r="F63">
        <v>40</v>
      </c>
      <c r="G63" t="s">
        <v>68</v>
      </c>
      <c r="H63" t="s">
        <v>46</v>
      </c>
      <c r="I63" s="24">
        <v>46024</v>
      </c>
      <c r="J63" t="s">
        <v>117</v>
      </c>
      <c r="K63" t="s">
        <v>117</v>
      </c>
      <c r="L63" t="s">
        <v>117</v>
      </c>
      <c r="M63">
        <v>4.9999999999999982</v>
      </c>
      <c r="N63">
        <v>99.999999999999972</v>
      </c>
      <c r="O63">
        <v>5.7142857142857144</v>
      </c>
      <c r="P63">
        <v>0</v>
      </c>
    </row>
    <row r="64" spans="1:16" x14ac:dyDescent="0.45">
      <c r="A64" t="s">
        <v>59</v>
      </c>
      <c r="B64" t="s">
        <v>29</v>
      </c>
      <c r="C64" t="s">
        <v>29</v>
      </c>
      <c r="D64" t="s">
        <v>60</v>
      </c>
      <c r="E64">
        <v>15</v>
      </c>
      <c r="F64">
        <v>20</v>
      </c>
      <c r="G64" t="s">
        <v>68</v>
      </c>
      <c r="H64" t="s">
        <v>46</v>
      </c>
      <c r="I64" s="24">
        <v>46024</v>
      </c>
      <c r="J64" t="s">
        <v>117</v>
      </c>
      <c r="K64" t="s">
        <v>117</v>
      </c>
      <c r="L64" t="s">
        <v>117</v>
      </c>
      <c r="M64">
        <v>4.9999999999999982</v>
      </c>
      <c r="N64">
        <v>74.999999999999972</v>
      </c>
      <c r="O64">
        <v>2.8571428571428572</v>
      </c>
      <c r="P64">
        <v>0</v>
      </c>
    </row>
    <row r="65" spans="1:16" x14ac:dyDescent="0.45">
      <c r="A65" t="s">
        <v>61</v>
      </c>
      <c r="B65" t="s">
        <v>29</v>
      </c>
      <c r="C65" t="s">
        <v>29</v>
      </c>
      <c r="D65" t="s">
        <v>60</v>
      </c>
      <c r="E65">
        <v>15</v>
      </c>
      <c r="F65">
        <v>20</v>
      </c>
      <c r="G65" t="s">
        <v>68</v>
      </c>
      <c r="H65" t="s">
        <v>46</v>
      </c>
      <c r="I65" s="24">
        <v>46024</v>
      </c>
      <c r="J65" t="s">
        <v>117</v>
      </c>
      <c r="K65" t="s">
        <v>117</v>
      </c>
      <c r="L65" t="s">
        <v>117</v>
      </c>
      <c r="M65">
        <v>4.9999999999999982</v>
      </c>
      <c r="N65">
        <v>74.999999999999972</v>
      </c>
      <c r="O65">
        <v>2.8571428571428572</v>
      </c>
      <c r="P65">
        <v>0</v>
      </c>
    </row>
    <row r="66" spans="1:16" x14ac:dyDescent="0.45">
      <c r="A66" t="s">
        <v>62</v>
      </c>
      <c r="B66" t="s">
        <v>29</v>
      </c>
      <c r="C66" t="s">
        <v>29</v>
      </c>
      <c r="D66" t="s">
        <v>60</v>
      </c>
      <c r="E66">
        <v>15</v>
      </c>
      <c r="F66">
        <v>20</v>
      </c>
      <c r="G66" t="s">
        <v>68</v>
      </c>
      <c r="H66" t="s">
        <v>39</v>
      </c>
      <c r="I66" s="24">
        <v>46024</v>
      </c>
      <c r="J66" t="s">
        <v>117</v>
      </c>
      <c r="K66" t="s">
        <v>117</v>
      </c>
      <c r="L66" t="s">
        <v>117</v>
      </c>
      <c r="M66">
        <v>4.9999999999999982</v>
      </c>
      <c r="N66">
        <v>74.999999999999972</v>
      </c>
      <c r="O66">
        <v>2.8571428571428572</v>
      </c>
      <c r="P66">
        <v>0</v>
      </c>
    </row>
    <row r="67" spans="1:16" x14ac:dyDescent="0.45">
      <c r="A67" t="s">
        <v>48</v>
      </c>
      <c r="B67" t="s">
        <v>30</v>
      </c>
      <c r="C67" t="s">
        <v>28</v>
      </c>
      <c r="D67" t="s">
        <v>49</v>
      </c>
      <c r="E67">
        <v>30</v>
      </c>
      <c r="F67">
        <v>40</v>
      </c>
      <c r="G67" t="s">
        <v>69</v>
      </c>
      <c r="H67" t="s">
        <v>37</v>
      </c>
      <c r="I67" s="24">
        <v>46025</v>
      </c>
      <c r="J67" t="s">
        <v>118</v>
      </c>
      <c r="K67" t="s">
        <v>117</v>
      </c>
      <c r="L67" t="s">
        <v>118</v>
      </c>
      <c r="M67">
        <v>7</v>
      </c>
      <c r="N67">
        <v>315</v>
      </c>
      <c r="O67">
        <v>5.7142857142857144</v>
      </c>
      <c r="P67">
        <v>1</v>
      </c>
    </row>
    <row r="68" spans="1:16" x14ac:dyDescent="0.45">
      <c r="A68" t="s">
        <v>50</v>
      </c>
      <c r="B68" t="s">
        <v>27</v>
      </c>
      <c r="C68" t="s">
        <v>28</v>
      </c>
      <c r="D68" t="s">
        <v>49</v>
      </c>
      <c r="E68">
        <v>25</v>
      </c>
      <c r="F68">
        <v>40</v>
      </c>
      <c r="G68" t="s">
        <v>69</v>
      </c>
      <c r="H68" t="s">
        <v>40</v>
      </c>
      <c r="I68" s="24">
        <v>46025</v>
      </c>
      <c r="J68" t="s">
        <v>118</v>
      </c>
      <c r="K68" t="s">
        <v>117</v>
      </c>
      <c r="L68" t="s">
        <v>118</v>
      </c>
      <c r="M68">
        <v>5</v>
      </c>
      <c r="N68">
        <v>187.5</v>
      </c>
      <c r="O68">
        <v>5.7142857142857144</v>
      </c>
      <c r="P68">
        <v>1</v>
      </c>
    </row>
    <row r="69" spans="1:16" x14ac:dyDescent="0.45">
      <c r="A69" t="s">
        <v>51</v>
      </c>
      <c r="B69" t="s">
        <v>27</v>
      </c>
      <c r="C69" t="s">
        <v>28</v>
      </c>
      <c r="D69" t="s">
        <v>49</v>
      </c>
      <c r="E69">
        <v>25</v>
      </c>
      <c r="F69">
        <v>40</v>
      </c>
      <c r="G69" t="s">
        <v>69</v>
      </c>
      <c r="H69" t="s">
        <v>35</v>
      </c>
      <c r="I69" s="24">
        <v>46025</v>
      </c>
      <c r="J69" t="s">
        <v>118</v>
      </c>
      <c r="K69" t="s">
        <v>117</v>
      </c>
      <c r="L69" t="s">
        <v>118</v>
      </c>
      <c r="M69">
        <v>7</v>
      </c>
      <c r="N69">
        <v>262.5</v>
      </c>
      <c r="O69">
        <v>5.7142857142857144</v>
      </c>
      <c r="P69">
        <v>1</v>
      </c>
    </row>
    <row r="70" spans="1:16" x14ac:dyDescent="0.45">
      <c r="A70" t="s">
        <v>52</v>
      </c>
      <c r="B70" t="s">
        <v>26</v>
      </c>
      <c r="C70" t="s">
        <v>26</v>
      </c>
      <c r="D70" t="s">
        <v>49</v>
      </c>
      <c r="E70">
        <v>35</v>
      </c>
      <c r="F70">
        <v>40</v>
      </c>
      <c r="G70" t="s">
        <v>69</v>
      </c>
      <c r="H70" t="s">
        <v>41</v>
      </c>
      <c r="I70" s="24">
        <v>46025</v>
      </c>
      <c r="J70" t="s">
        <v>118</v>
      </c>
      <c r="K70" t="s">
        <v>117</v>
      </c>
      <c r="L70" t="s">
        <v>118</v>
      </c>
      <c r="M70">
        <v>0</v>
      </c>
      <c r="N70">
        <v>0</v>
      </c>
      <c r="O70">
        <v>5.7142857142857144</v>
      </c>
      <c r="P70">
        <v>0</v>
      </c>
    </row>
    <row r="71" spans="1:16" x14ac:dyDescent="0.45">
      <c r="A71" t="s">
        <v>53</v>
      </c>
      <c r="B71" t="s">
        <v>26</v>
      </c>
      <c r="C71" t="s">
        <v>26</v>
      </c>
      <c r="D71" t="s">
        <v>49</v>
      </c>
      <c r="E71">
        <v>35</v>
      </c>
      <c r="F71">
        <v>40</v>
      </c>
      <c r="G71" t="s">
        <v>69</v>
      </c>
      <c r="H71" t="s">
        <v>42</v>
      </c>
      <c r="I71" s="24">
        <v>46025</v>
      </c>
      <c r="J71" t="s">
        <v>118</v>
      </c>
      <c r="K71" t="s">
        <v>117</v>
      </c>
      <c r="L71" t="s">
        <v>118</v>
      </c>
      <c r="M71">
        <v>7.9999999999999982</v>
      </c>
      <c r="N71">
        <v>419.99999999999989</v>
      </c>
      <c r="O71">
        <v>5.7142857142857144</v>
      </c>
      <c r="P71">
        <v>1</v>
      </c>
    </row>
    <row r="72" spans="1:16" x14ac:dyDescent="0.45">
      <c r="A72" t="s">
        <v>54</v>
      </c>
      <c r="B72" t="s">
        <v>25</v>
      </c>
      <c r="C72" t="s">
        <v>26</v>
      </c>
      <c r="D72" t="s">
        <v>49</v>
      </c>
      <c r="E72">
        <v>28</v>
      </c>
      <c r="F72">
        <v>40</v>
      </c>
      <c r="G72" t="s">
        <v>69</v>
      </c>
      <c r="H72" t="s">
        <v>44</v>
      </c>
      <c r="I72" s="24">
        <v>46025</v>
      </c>
      <c r="J72" t="s">
        <v>118</v>
      </c>
      <c r="K72" t="s">
        <v>117</v>
      </c>
      <c r="L72" t="s">
        <v>118</v>
      </c>
      <c r="M72">
        <v>8</v>
      </c>
      <c r="N72">
        <v>336</v>
      </c>
      <c r="O72">
        <v>5.7142857142857144</v>
      </c>
      <c r="P72">
        <v>1</v>
      </c>
    </row>
    <row r="73" spans="1:16" x14ac:dyDescent="0.45">
      <c r="A73" t="s">
        <v>55</v>
      </c>
      <c r="B73" t="s">
        <v>25</v>
      </c>
      <c r="C73" t="s">
        <v>26</v>
      </c>
      <c r="D73" t="s">
        <v>49</v>
      </c>
      <c r="E73">
        <v>28</v>
      </c>
      <c r="F73">
        <v>40</v>
      </c>
      <c r="G73" t="s">
        <v>69</v>
      </c>
      <c r="H73" t="s">
        <v>41</v>
      </c>
      <c r="I73" s="24">
        <v>46025</v>
      </c>
      <c r="J73" t="s">
        <v>118</v>
      </c>
      <c r="K73" t="s">
        <v>117</v>
      </c>
      <c r="L73" t="s">
        <v>118</v>
      </c>
      <c r="M73">
        <v>0</v>
      </c>
      <c r="N73">
        <v>0</v>
      </c>
      <c r="O73">
        <v>5.7142857142857144</v>
      </c>
      <c r="P73">
        <v>0</v>
      </c>
    </row>
    <row r="74" spans="1:16" x14ac:dyDescent="0.45">
      <c r="A74" t="s">
        <v>56</v>
      </c>
      <c r="B74" t="s">
        <v>29</v>
      </c>
      <c r="C74" t="s">
        <v>29</v>
      </c>
      <c r="D74" t="s">
        <v>49</v>
      </c>
      <c r="E74">
        <v>20</v>
      </c>
      <c r="F74">
        <v>40</v>
      </c>
      <c r="G74" t="s">
        <v>69</v>
      </c>
      <c r="H74" t="s">
        <v>45</v>
      </c>
      <c r="I74" s="24">
        <v>46025</v>
      </c>
      <c r="J74" t="s">
        <v>118</v>
      </c>
      <c r="K74" t="s">
        <v>117</v>
      </c>
      <c r="L74" t="s">
        <v>118</v>
      </c>
      <c r="M74">
        <v>7.9999999999999982</v>
      </c>
      <c r="N74">
        <v>239.99999999999994</v>
      </c>
      <c r="O74">
        <v>5.7142857142857144</v>
      </c>
      <c r="P74">
        <v>1</v>
      </c>
    </row>
    <row r="75" spans="1:16" x14ac:dyDescent="0.45">
      <c r="A75" t="s">
        <v>57</v>
      </c>
      <c r="B75" t="s">
        <v>29</v>
      </c>
      <c r="C75" t="s">
        <v>29</v>
      </c>
      <c r="D75" t="s">
        <v>49</v>
      </c>
      <c r="E75">
        <v>20</v>
      </c>
      <c r="F75">
        <v>40</v>
      </c>
      <c r="G75" t="s">
        <v>69</v>
      </c>
      <c r="H75" t="s">
        <v>41</v>
      </c>
      <c r="I75" s="24">
        <v>46025</v>
      </c>
      <c r="J75" t="s">
        <v>118</v>
      </c>
      <c r="K75" t="s">
        <v>117</v>
      </c>
      <c r="L75" t="s">
        <v>118</v>
      </c>
      <c r="M75">
        <v>0</v>
      </c>
      <c r="N75">
        <v>0</v>
      </c>
      <c r="O75">
        <v>5.7142857142857144</v>
      </c>
      <c r="P75">
        <v>0</v>
      </c>
    </row>
    <row r="76" spans="1:16" x14ac:dyDescent="0.45">
      <c r="A76" t="s">
        <v>58</v>
      </c>
      <c r="B76" t="s">
        <v>29</v>
      </c>
      <c r="C76" t="s">
        <v>29</v>
      </c>
      <c r="D76" t="s">
        <v>49</v>
      </c>
      <c r="E76">
        <v>20</v>
      </c>
      <c r="F76">
        <v>40</v>
      </c>
      <c r="G76" t="s">
        <v>69</v>
      </c>
      <c r="H76" t="s">
        <v>44</v>
      </c>
      <c r="I76" s="24">
        <v>46025</v>
      </c>
      <c r="J76" t="s">
        <v>118</v>
      </c>
      <c r="K76" t="s">
        <v>117</v>
      </c>
      <c r="L76" t="s">
        <v>118</v>
      </c>
      <c r="M76">
        <v>8</v>
      </c>
      <c r="N76">
        <v>240</v>
      </c>
      <c r="O76">
        <v>5.7142857142857144</v>
      </c>
      <c r="P76">
        <v>1</v>
      </c>
    </row>
    <row r="77" spans="1:16" x14ac:dyDescent="0.45">
      <c r="A77" t="s">
        <v>59</v>
      </c>
      <c r="B77" t="s">
        <v>29</v>
      </c>
      <c r="C77" t="s">
        <v>29</v>
      </c>
      <c r="D77" t="s">
        <v>60</v>
      </c>
      <c r="E77">
        <v>15</v>
      </c>
      <c r="F77">
        <v>20</v>
      </c>
      <c r="G77" t="s">
        <v>69</v>
      </c>
      <c r="H77" t="s">
        <v>41</v>
      </c>
      <c r="I77" s="24">
        <v>46025</v>
      </c>
      <c r="J77" t="s">
        <v>118</v>
      </c>
      <c r="K77" t="s">
        <v>117</v>
      </c>
      <c r="L77" t="s">
        <v>118</v>
      </c>
      <c r="M77">
        <v>0</v>
      </c>
      <c r="N77">
        <v>0</v>
      </c>
      <c r="O77">
        <v>2.8571428571428572</v>
      </c>
      <c r="P77">
        <v>0</v>
      </c>
    </row>
    <row r="78" spans="1:16" x14ac:dyDescent="0.45">
      <c r="A78" t="s">
        <v>61</v>
      </c>
      <c r="B78" t="s">
        <v>29</v>
      </c>
      <c r="C78" t="s">
        <v>29</v>
      </c>
      <c r="D78" t="s">
        <v>60</v>
      </c>
      <c r="E78">
        <v>15</v>
      </c>
      <c r="F78">
        <v>20</v>
      </c>
      <c r="G78" t="s">
        <v>69</v>
      </c>
      <c r="H78" t="s">
        <v>41</v>
      </c>
      <c r="I78" s="24">
        <v>46025</v>
      </c>
      <c r="J78" t="s">
        <v>118</v>
      </c>
      <c r="K78" t="s">
        <v>117</v>
      </c>
      <c r="L78" t="s">
        <v>118</v>
      </c>
      <c r="M78">
        <v>0</v>
      </c>
      <c r="N78">
        <v>0</v>
      </c>
      <c r="O78">
        <v>2.8571428571428572</v>
      </c>
      <c r="P78">
        <v>0</v>
      </c>
    </row>
    <row r="79" spans="1:16" x14ac:dyDescent="0.45">
      <c r="A79" t="s">
        <v>62</v>
      </c>
      <c r="B79" t="s">
        <v>29</v>
      </c>
      <c r="C79" t="s">
        <v>29</v>
      </c>
      <c r="D79" t="s">
        <v>60</v>
      </c>
      <c r="E79">
        <v>15</v>
      </c>
      <c r="F79">
        <v>20</v>
      </c>
      <c r="G79" t="s">
        <v>69</v>
      </c>
      <c r="H79" t="s">
        <v>40</v>
      </c>
      <c r="I79" s="24">
        <v>46025</v>
      </c>
      <c r="J79" t="s">
        <v>118</v>
      </c>
      <c r="K79" t="s">
        <v>117</v>
      </c>
      <c r="L79" t="s">
        <v>118</v>
      </c>
      <c r="M79">
        <v>5</v>
      </c>
      <c r="N79">
        <v>112.5</v>
      </c>
      <c r="O79">
        <v>2.8571428571428572</v>
      </c>
      <c r="P79">
        <v>1</v>
      </c>
    </row>
    <row r="80" spans="1:16" x14ac:dyDescent="0.45">
      <c r="A80" t="s">
        <v>48</v>
      </c>
      <c r="B80" t="s">
        <v>30</v>
      </c>
      <c r="C80" t="s">
        <v>28</v>
      </c>
      <c r="D80" t="s">
        <v>49</v>
      </c>
      <c r="E80">
        <v>30</v>
      </c>
      <c r="F80">
        <v>40</v>
      </c>
      <c r="G80" t="s">
        <v>70</v>
      </c>
      <c r="H80" t="s">
        <v>41</v>
      </c>
      <c r="I80" s="24">
        <v>46026</v>
      </c>
      <c r="J80" t="s">
        <v>118</v>
      </c>
      <c r="K80" t="s">
        <v>117</v>
      </c>
      <c r="L80" t="s">
        <v>118</v>
      </c>
      <c r="M80">
        <v>0</v>
      </c>
      <c r="N80">
        <v>0</v>
      </c>
      <c r="O80">
        <v>5.7142857142857144</v>
      </c>
      <c r="P80">
        <v>0</v>
      </c>
    </row>
    <row r="81" spans="1:16" x14ac:dyDescent="0.45">
      <c r="A81" t="s">
        <v>50</v>
      </c>
      <c r="B81" t="s">
        <v>27</v>
      </c>
      <c r="C81" t="s">
        <v>28</v>
      </c>
      <c r="D81" t="s">
        <v>49</v>
      </c>
      <c r="E81">
        <v>25</v>
      </c>
      <c r="F81">
        <v>40</v>
      </c>
      <c r="G81" t="s">
        <v>70</v>
      </c>
      <c r="H81" t="s">
        <v>37</v>
      </c>
      <c r="I81" s="24">
        <v>46026</v>
      </c>
      <c r="J81" t="s">
        <v>118</v>
      </c>
      <c r="K81" t="s">
        <v>117</v>
      </c>
      <c r="L81" t="s">
        <v>118</v>
      </c>
      <c r="M81">
        <v>7</v>
      </c>
      <c r="N81">
        <v>262.5</v>
      </c>
      <c r="O81">
        <v>5.7142857142857144</v>
      </c>
      <c r="P81">
        <v>1</v>
      </c>
    </row>
    <row r="82" spans="1:16" x14ac:dyDescent="0.45">
      <c r="A82" t="s">
        <v>51</v>
      </c>
      <c r="B82" t="s">
        <v>27</v>
      </c>
      <c r="C82" t="s">
        <v>28</v>
      </c>
      <c r="D82" t="s">
        <v>49</v>
      </c>
      <c r="E82">
        <v>25</v>
      </c>
      <c r="F82">
        <v>40</v>
      </c>
      <c r="G82" t="s">
        <v>70</v>
      </c>
      <c r="H82" t="s">
        <v>35</v>
      </c>
      <c r="I82" s="24">
        <v>46026</v>
      </c>
      <c r="J82" t="s">
        <v>118</v>
      </c>
      <c r="K82" t="s">
        <v>117</v>
      </c>
      <c r="L82" t="s">
        <v>118</v>
      </c>
      <c r="M82">
        <v>7</v>
      </c>
      <c r="N82">
        <v>262.5</v>
      </c>
      <c r="O82">
        <v>5.7142857142857144</v>
      </c>
      <c r="P82">
        <v>1</v>
      </c>
    </row>
    <row r="83" spans="1:16" x14ac:dyDescent="0.45">
      <c r="A83" t="s">
        <v>52</v>
      </c>
      <c r="B83" t="s">
        <v>26</v>
      </c>
      <c r="C83" t="s">
        <v>26</v>
      </c>
      <c r="D83" t="s">
        <v>49</v>
      </c>
      <c r="E83">
        <v>35</v>
      </c>
      <c r="F83">
        <v>40</v>
      </c>
      <c r="G83" t="s">
        <v>70</v>
      </c>
      <c r="H83" t="s">
        <v>41</v>
      </c>
      <c r="I83" s="24">
        <v>46026</v>
      </c>
      <c r="J83" t="s">
        <v>118</v>
      </c>
      <c r="K83" t="s">
        <v>117</v>
      </c>
      <c r="L83" t="s">
        <v>118</v>
      </c>
      <c r="M83">
        <v>0</v>
      </c>
      <c r="N83">
        <v>0</v>
      </c>
      <c r="O83">
        <v>5.7142857142857144</v>
      </c>
      <c r="P83">
        <v>0</v>
      </c>
    </row>
    <row r="84" spans="1:16" x14ac:dyDescent="0.45">
      <c r="A84" t="s">
        <v>53</v>
      </c>
      <c r="B84" t="s">
        <v>26</v>
      </c>
      <c r="C84" t="s">
        <v>26</v>
      </c>
      <c r="D84" t="s">
        <v>49</v>
      </c>
      <c r="E84">
        <v>35</v>
      </c>
      <c r="F84">
        <v>40</v>
      </c>
      <c r="G84" t="s">
        <v>70</v>
      </c>
      <c r="H84" t="s">
        <v>42</v>
      </c>
      <c r="I84" s="24">
        <v>46026</v>
      </c>
      <c r="J84" t="s">
        <v>118</v>
      </c>
      <c r="K84" t="s">
        <v>117</v>
      </c>
      <c r="L84" t="s">
        <v>118</v>
      </c>
      <c r="M84">
        <v>7.9999999999999982</v>
      </c>
      <c r="N84">
        <v>419.99999999999989</v>
      </c>
      <c r="O84">
        <v>5.7142857142857144</v>
      </c>
      <c r="P84">
        <v>1</v>
      </c>
    </row>
    <row r="85" spans="1:16" x14ac:dyDescent="0.45">
      <c r="A85" t="s">
        <v>54</v>
      </c>
      <c r="B85" t="s">
        <v>25</v>
      </c>
      <c r="C85" t="s">
        <v>26</v>
      </c>
      <c r="D85" t="s">
        <v>49</v>
      </c>
      <c r="E85">
        <v>28</v>
      </c>
      <c r="F85">
        <v>40</v>
      </c>
      <c r="G85" t="s">
        <v>70</v>
      </c>
      <c r="H85" t="s">
        <v>44</v>
      </c>
      <c r="I85" s="24">
        <v>46026</v>
      </c>
      <c r="J85" t="s">
        <v>118</v>
      </c>
      <c r="K85" t="s">
        <v>117</v>
      </c>
      <c r="L85" t="s">
        <v>118</v>
      </c>
      <c r="M85">
        <v>8</v>
      </c>
      <c r="N85">
        <v>336</v>
      </c>
      <c r="O85">
        <v>5.7142857142857144</v>
      </c>
      <c r="P85">
        <v>1</v>
      </c>
    </row>
    <row r="86" spans="1:16" x14ac:dyDescent="0.45">
      <c r="A86" t="s">
        <v>55</v>
      </c>
      <c r="B86" t="s">
        <v>25</v>
      </c>
      <c r="C86" t="s">
        <v>26</v>
      </c>
      <c r="D86" t="s">
        <v>49</v>
      </c>
      <c r="E86">
        <v>28</v>
      </c>
      <c r="F86">
        <v>40</v>
      </c>
      <c r="G86" t="s">
        <v>70</v>
      </c>
      <c r="H86" t="s">
        <v>41</v>
      </c>
      <c r="I86" s="24">
        <v>46026</v>
      </c>
      <c r="J86" t="s">
        <v>118</v>
      </c>
      <c r="K86" t="s">
        <v>117</v>
      </c>
      <c r="L86" t="s">
        <v>118</v>
      </c>
      <c r="M86">
        <v>0</v>
      </c>
      <c r="N86">
        <v>0</v>
      </c>
      <c r="O86">
        <v>5.7142857142857144</v>
      </c>
      <c r="P86">
        <v>0</v>
      </c>
    </row>
    <row r="87" spans="1:16" x14ac:dyDescent="0.45">
      <c r="A87" t="s">
        <v>56</v>
      </c>
      <c r="B87" t="s">
        <v>29</v>
      </c>
      <c r="C87" t="s">
        <v>29</v>
      </c>
      <c r="D87" t="s">
        <v>49</v>
      </c>
      <c r="E87">
        <v>20</v>
      </c>
      <c r="F87">
        <v>40</v>
      </c>
      <c r="G87" t="s">
        <v>70</v>
      </c>
      <c r="H87" t="s">
        <v>45</v>
      </c>
      <c r="I87" s="24">
        <v>46026</v>
      </c>
      <c r="J87" t="s">
        <v>118</v>
      </c>
      <c r="K87" t="s">
        <v>117</v>
      </c>
      <c r="L87" t="s">
        <v>118</v>
      </c>
      <c r="M87">
        <v>7.9999999999999982</v>
      </c>
      <c r="N87">
        <v>239.99999999999994</v>
      </c>
      <c r="O87">
        <v>5.7142857142857144</v>
      </c>
      <c r="P87">
        <v>1</v>
      </c>
    </row>
    <row r="88" spans="1:16" x14ac:dyDescent="0.45">
      <c r="A88" t="s">
        <v>57</v>
      </c>
      <c r="B88" t="s">
        <v>29</v>
      </c>
      <c r="C88" t="s">
        <v>29</v>
      </c>
      <c r="D88" t="s">
        <v>49</v>
      </c>
      <c r="E88">
        <v>20</v>
      </c>
      <c r="F88">
        <v>40</v>
      </c>
      <c r="G88" t="s">
        <v>70</v>
      </c>
      <c r="H88" t="s">
        <v>41</v>
      </c>
      <c r="I88" s="24">
        <v>46026</v>
      </c>
      <c r="J88" t="s">
        <v>118</v>
      </c>
      <c r="K88" t="s">
        <v>117</v>
      </c>
      <c r="L88" t="s">
        <v>118</v>
      </c>
      <c r="M88">
        <v>0</v>
      </c>
      <c r="N88">
        <v>0</v>
      </c>
      <c r="O88">
        <v>5.7142857142857144</v>
      </c>
      <c r="P88">
        <v>0</v>
      </c>
    </row>
    <row r="89" spans="1:16" x14ac:dyDescent="0.45">
      <c r="A89" t="s">
        <v>58</v>
      </c>
      <c r="B89" t="s">
        <v>29</v>
      </c>
      <c r="C89" t="s">
        <v>29</v>
      </c>
      <c r="D89" t="s">
        <v>49</v>
      </c>
      <c r="E89">
        <v>20</v>
      </c>
      <c r="F89">
        <v>40</v>
      </c>
      <c r="G89" t="s">
        <v>70</v>
      </c>
      <c r="H89" t="s">
        <v>44</v>
      </c>
      <c r="I89" s="24">
        <v>46026</v>
      </c>
      <c r="J89" t="s">
        <v>118</v>
      </c>
      <c r="K89" t="s">
        <v>117</v>
      </c>
      <c r="L89" t="s">
        <v>118</v>
      </c>
      <c r="M89">
        <v>8</v>
      </c>
      <c r="N89">
        <v>240</v>
      </c>
      <c r="O89">
        <v>5.7142857142857144</v>
      </c>
      <c r="P89">
        <v>1</v>
      </c>
    </row>
    <row r="90" spans="1:16" x14ac:dyDescent="0.45">
      <c r="A90" t="s">
        <v>59</v>
      </c>
      <c r="B90" t="s">
        <v>29</v>
      </c>
      <c r="C90" t="s">
        <v>29</v>
      </c>
      <c r="D90" t="s">
        <v>60</v>
      </c>
      <c r="E90">
        <v>15</v>
      </c>
      <c r="F90">
        <v>20</v>
      </c>
      <c r="G90" t="s">
        <v>70</v>
      </c>
      <c r="H90" t="s">
        <v>41</v>
      </c>
      <c r="I90" s="24">
        <v>46026</v>
      </c>
      <c r="J90" t="s">
        <v>118</v>
      </c>
      <c r="K90" t="s">
        <v>117</v>
      </c>
      <c r="L90" t="s">
        <v>118</v>
      </c>
      <c r="M90">
        <v>0</v>
      </c>
      <c r="N90">
        <v>0</v>
      </c>
      <c r="O90">
        <v>2.8571428571428572</v>
      </c>
      <c r="P90">
        <v>0</v>
      </c>
    </row>
    <row r="91" spans="1:16" x14ac:dyDescent="0.45">
      <c r="A91" t="s">
        <v>61</v>
      </c>
      <c r="B91" t="s">
        <v>29</v>
      </c>
      <c r="C91" t="s">
        <v>29</v>
      </c>
      <c r="D91" t="s">
        <v>60</v>
      </c>
      <c r="E91">
        <v>15</v>
      </c>
      <c r="F91">
        <v>20</v>
      </c>
      <c r="G91" t="s">
        <v>70</v>
      </c>
      <c r="H91" t="s">
        <v>41</v>
      </c>
      <c r="I91" s="24">
        <v>46026</v>
      </c>
      <c r="J91" t="s">
        <v>118</v>
      </c>
      <c r="K91" t="s">
        <v>117</v>
      </c>
      <c r="L91" t="s">
        <v>118</v>
      </c>
      <c r="M91">
        <v>0</v>
      </c>
      <c r="N91">
        <v>0</v>
      </c>
      <c r="O91">
        <v>2.8571428571428572</v>
      </c>
      <c r="P91">
        <v>0</v>
      </c>
    </row>
    <row r="92" spans="1:16" x14ac:dyDescent="0.45">
      <c r="A92" t="s">
        <v>62</v>
      </c>
      <c r="B92" t="s">
        <v>29</v>
      </c>
      <c r="C92" t="s">
        <v>29</v>
      </c>
      <c r="D92" t="s">
        <v>60</v>
      </c>
      <c r="E92">
        <v>15</v>
      </c>
      <c r="F92">
        <v>20</v>
      </c>
      <c r="G92" t="s">
        <v>70</v>
      </c>
      <c r="H92" t="s">
        <v>46</v>
      </c>
      <c r="I92" s="24">
        <v>46026</v>
      </c>
      <c r="J92" t="s">
        <v>118</v>
      </c>
      <c r="K92" t="s">
        <v>117</v>
      </c>
      <c r="L92" t="s">
        <v>118</v>
      </c>
      <c r="M92">
        <v>4.9999999999999982</v>
      </c>
      <c r="N92">
        <v>112.49999999999996</v>
      </c>
      <c r="O92">
        <v>2.8571428571428572</v>
      </c>
      <c r="P92">
        <v>1</v>
      </c>
    </row>
    <row r="93" spans="1:16" x14ac:dyDescent="0.45">
      <c r="A93" t="s">
        <v>48</v>
      </c>
      <c r="B93" t="s">
        <v>30</v>
      </c>
      <c r="C93" t="s">
        <v>28</v>
      </c>
      <c r="D93" t="s">
        <v>49</v>
      </c>
      <c r="E93">
        <v>30</v>
      </c>
      <c r="F93">
        <v>40</v>
      </c>
      <c r="G93" t="s">
        <v>64</v>
      </c>
      <c r="H93" t="s">
        <v>41</v>
      </c>
      <c r="I93" s="24">
        <v>46027</v>
      </c>
      <c r="J93" t="s">
        <v>117</v>
      </c>
      <c r="K93" t="s">
        <v>117</v>
      </c>
      <c r="L93" t="s">
        <v>117</v>
      </c>
      <c r="M93">
        <v>0</v>
      </c>
      <c r="N93">
        <v>0</v>
      </c>
      <c r="O93">
        <v>5.7142857142857144</v>
      </c>
      <c r="P93">
        <v>0</v>
      </c>
    </row>
    <row r="94" spans="1:16" x14ac:dyDescent="0.45">
      <c r="A94" t="s">
        <v>50</v>
      </c>
      <c r="B94" t="s">
        <v>27</v>
      </c>
      <c r="C94" t="s">
        <v>28</v>
      </c>
      <c r="D94" t="s">
        <v>49</v>
      </c>
      <c r="E94">
        <v>25</v>
      </c>
      <c r="F94">
        <v>40</v>
      </c>
      <c r="G94" t="s">
        <v>64</v>
      </c>
      <c r="H94" t="s">
        <v>41</v>
      </c>
      <c r="I94" s="24">
        <v>46027</v>
      </c>
      <c r="J94" t="s">
        <v>117</v>
      </c>
      <c r="K94" t="s">
        <v>117</v>
      </c>
      <c r="L94" t="s">
        <v>117</v>
      </c>
      <c r="M94">
        <v>0</v>
      </c>
      <c r="N94">
        <v>0</v>
      </c>
      <c r="O94">
        <v>5.7142857142857144</v>
      </c>
      <c r="P94">
        <v>0</v>
      </c>
    </row>
    <row r="95" spans="1:16" x14ac:dyDescent="0.45">
      <c r="A95" t="s">
        <v>51</v>
      </c>
      <c r="B95" t="s">
        <v>27</v>
      </c>
      <c r="C95" t="s">
        <v>28</v>
      </c>
      <c r="D95" t="s">
        <v>49</v>
      </c>
      <c r="E95">
        <v>25</v>
      </c>
      <c r="F95">
        <v>40</v>
      </c>
      <c r="G95" t="s">
        <v>64</v>
      </c>
      <c r="H95" t="s">
        <v>41</v>
      </c>
      <c r="I95" s="24">
        <v>46027</v>
      </c>
      <c r="J95" t="s">
        <v>117</v>
      </c>
      <c r="K95" t="s">
        <v>117</v>
      </c>
      <c r="L95" t="s">
        <v>117</v>
      </c>
      <c r="M95">
        <v>0</v>
      </c>
      <c r="N95">
        <v>0</v>
      </c>
      <c r="O95">
        <v>5.7142857142857144</v>
      </c>
      <c r="P95">
        <v>0</v>
      </c>
    </row>
    <row r="96" spans="1:16" x14ac:dyDescent="0.45">
      <c r="A96" t="s">
        <v>52</v>
      </c>
      <c r="B96" t="s">
        <v>26</v>
      </c>
      <c r="C96" t="s">
        <v>26</v>
      </c>
      <c r="D96" t="s">
        <v>49</v>
      </c>
      <c r="E96">
        <v>35</v>
      </c>
      <c r="F96">
        <v>40</v>
      </c>
      <c r="G96" t="s">
        <v>64</v>
      </c>
      <c r="H96" t="s">
        <v>41</v>
      </c>
      <c r="I96" s="24">
        <v>46027</v>
      </c>
      <c r="J96" t="s">
        <v>117</v>
      </c>
      <c r="K96" t="s">
        <v>117</v>
      </c>
      <c r="L96" t="s">
        <v>117</v>
      </c>
      <c r="M96">
        <v>0</v>
      </c>
      <c r="N96">
        <v>0</v>
      </c>
      <c r="O96">
        <v>5.7142857142857144</v>
      </c>
      <c r="P96">
        <v>0</v>
      </c>
    </row>
    <row r="97" spans="1:16" x14ac:dyDescent="0.45">
      <c r="A97" t="s">
        <v>53</v>
      </c>
      <c r="B97" t="s">
        <v>26</v>
      </c>
      <c r="C97" t="s">
        <v>26</v>
      </c>
      <c r="D97" t="s">
        <v>49</v>
      </c>
      <c r="E97">
        <v>35</v>
      </c>
      <c r="F97">
        <v>40</v>
      </c>
      <c r="G97" t="s">
        <v>64</v>
      </c>
      <c r="H97" t="s">
        <v>41</v>
      </c>
      <c r="I97" s="24">
        <v>46027</v>
      </c>
      <c r="J97" t="s">
        <v>117</v>
      </c>
      <c r="K97" t="s">
        <v>117</v>
      </c>
      <c r="L97" t="s">
        <v>117</v>
      </c>
      <c r="M97">
        <v>0</v>
      </c>
      <c r="N97">
        <v>0</v>
      </c>
      <c r="O97">
        <v>5.7142857142857144</v>
      </c>
      <c r="P97">
        <v>0</v>
      </c>
    </row>
    <row r="98" spans="1:16" x14ac:dyDescent="0.45">
      <c r="A98" t="s">
        <v>54</v>
      </c>
      <c r="B98" t="s">
        <v>25</v>
      </c>
      <c r="C98" t="s">
        <v>26</v>
      </c>
      <c r="D98" t="s">
        <v>49</v>
      </c>
      <c r="E98">
        <v>28</v>
      </c>
      <c r="F98">
        <v>40</v>
      </c>
      <c r="G98" t="s">
        <v>64</v>
      </c>
      <c r="H98" t="s">
        <v>41</v>
      </c>
      <c r="I98" s="24">
        <v>46027</v>
      </c>
      <c r="J98" t="s">
        <v>117</v>
      </c>
      <c r="K98" t="s">
        <v>117</v>
      </c>
      <c r="L98" t="s">
        <v>117</v>
      </c>
      <c r="M98">
        <v>0</v>
      </c>
      <c r="N98">
        <v>0</v>
      </c>
      <c r="O98">
        <v>5.7142857142857144</v>
      </c>
      <c r="P98">
        <v>0</v>
      </c>
    </row>
    <row r="99" spans="1:16" x14ac:dyDescent="0.45">
      <c r="A99" t="s">
        <v>55</v>
      </c>
      <c r="B99" t="s">
        <v>25</v>
      </c>
      <c r="C99" t="s">
        <v>26</v>
      </c>
      <c r="D99" t="s">
        <v>49</v>
      </c>
      <c r="E99">
        <v>28</v>
      </c>
      <c r="F99">
        <v>40</v>
      </c>
      <c r="G99" t="s">
        <v>64</v>
      </c>
      <c r="H99" t="s">
        <v>41</v>
      </c>
      <c r="I99" s="24">
        <v>46027</v>
      </c>
      <c r="J99" t="s">
        <v>117</v>
      </c>
      <c r="K99" t="s">
        <v>117</v>
      </c>
      <c r="L99" t="s">
        <v>117</v>
      </c>
      <c r="M99">
        <v>0</v>
      </c>
      <c r="N99">
        <v>0</v>
      </c>
      <c r="O99">
        <v>5.7142857142857144</v>
      </c>
      <c r="P99">
        <v>0</v>
      </c>
    </row>
    <row r="100" spans="1:16" x14ac:dyDescent="0.45">
      <c r="A100" t="s">
        <v>56</v>
      </c>
      <c r="B100" t="s">
        <v>29</v>
      </c>
      <c r="C100" t="s">
        <v>29</v>
      </c>
      <c r="D100" t="s">
        <v>49</v>
      </c>
      <c r="E100">
        <v>20</v>
      </c>
      <c r="F100">
        <v>40</v>
      </c>
      <c r="G100" t="s">
        <v>64</v>
      </c>
      <c r="H100" t="s">
        <v>41</v>
      </c>
      <c r="I100" s="24">
        <v>46027</v>
      </c>
      <c r="J100" t="s">
        <v>117</v>
      </c>
      <c r="K100" t="s">
        <v>117</v>
      </c>
      <c r="L100" t="s">
        <v>117</v>
      </c>
      <c r="M100">
        <v>0</v>
      </c>
      <c r="N100">
        <v>0</v>
      </c>
      <c r="O100">
        <v>5.7142857142857144</v>
      </c>
      <c r="P100">
        <v>0</v>
      </c>
    </row>
    <row r="101" spans="1:16" x14ac:dyDescent="0.45">
      <c r="A101" t="s">
        <v>57</v>
      </c>
      <c r="B101" t="s">
        <v>29</v>
      </c>
      <c r="C101" t="s">
        <v>29</v>
      </c>
      <c r="D101" t="s">
        <v>49</v>
      </c>
      <c r="E101">
        <v>20</v>
      </c>
      <c r="F101">
        <v>40</v>
      </c>
      <c r="G101" t="s">
        <v>64</v>
      </c>
      <c r="H101" t="s">
        <v>41</v>
      </c>
      <c r="I101" s="24">
        <v>46027</v>
      </c>
      <c r="J101" t="s">
        <v>117</v>
      </c>
      <c r="K101" t="s">
        <v>117</v>
      </c>
      <c r="L101" t="s">
        <v>117</v>
      </c>
      <c r="M101">
        <v>0</v>
      </c>
      <c r="N101">
        <v>0</v>
      </c>
      <c r="O101">
        <v>5.7142857142857144</v>
      </c>
      <c r="P101">
        <v>0</v>
      </c>
    </row>
    <row r="102" spans="1:16" x14ac:dyDescent="0.45">
      <c r="A102" t="s">
        <v>58</v>
      </c>
      <c r="B102" t="s">
        <v>29</v>
      </c>
      <c r="C102" t="s">
        <v>29</v>
      </c>
      <c r="D102" t="s">
        <v>49</v>
      </c>
      <c r="E102">
        <v>20</v>
      </c>
      <c r="F102">
        <v>40</v>
      </c>
      <c r="G102" t="s">
        <v>64</v>
      </c>
      <c r="H102" t="s">
        <v>41</v>
      </c>
      <c r="I102" s="24">
        <v>46027</v>
      </c>
      <c r="J102" t="s">
        <v>117</v>
      </c>
      <c r="K102" t="s">
        <v>117</v>
      </c>
      <c r="L102" t="s">
        <v>117</v>
      </c>
      <c r="M102">
        <v>0</v>
      </c>
      <c r="N102">
        <v>0</v>
      </c>
      <c r="O102">
        <v>5.7142857142857144</v>
      </c>
      <c r="P102">
        <v>0</v>
      </c>
    </row>
    <row r="103" spans="1:16" x14ac:dyDescent="0.45">
      <c r="A103" t="s">
        <v>59</v>
      </c>
      <c r="B103" t="s">
        <v>29</v>
      </c>
      <c r="C103" t="s">
        <v>29</v>
      </c>
      <c r="D103" t="s">
        <v>60</v>
      </c>
      <c r="E103">
        <v>15</v>
      </c>
      <c r="F103">
        <v>20</v>
      </c>
      <c r="G103" t="s">
        <v>64</v>
      </c>
      <c r="H103" t="s">
        <v>41</v>
      </c>
      <c r="I103" s="24">
        <v>46027</v>
      </c>
      <c r="J103" t="s">
        <v>117</v>
      </c>
      <c r="K103" t="s">
        <v>117</v>
      </c>
      <c r="L103" t="s">
        <v>117</v>
      </c>
      <c r="M103">
        <v>0</v>
      </c>
      <c r="N103">
        <v>0</v>
      </c>
      <c r="O103">
        <v>2.8571428571428572</v>
      </c>
      <c r="P103">
        <v>0</v>
      </c>
    </row>
    <row r="104" spans="1:16" x14ac:dyDescent="0.45">
      <c r="A104" t="s">
        <v>61</v>
      </c>
      <c r="B104" t="s">
        <v>29</v>
      </c>
      <c r="C104" t="s">
        <v>29</v>
      </c>
      <c r="D104" t="s">
        <v>60</v>
      </c>
      <c r="E104">
        <v>15</v>
      </c>
      <c r="F104">
        <v>20</v>
      </c>
      <c r="G104" t="s">
        <v>64</v>
      </c>
      <c r="H104" t="s">
        <v>41</v>
      </c>
      <c r="I104" s="24">
        <v>46027</v>
      </c>
      <c r="J104" t="s">
        <v>117</v>
      </c>
      <c r="K104" t="s">
        <v>117</v>
      </c>
      <c r="L104" t="s">
        <v>117</v>
      </c>
      <c r="M104">
        <v>0</v>
      </c>
      <c r="N104">
        <v>0</v>
      </c>
      <c r="O104">
        <v>2.8571428571428572</v>
      </c>
      <c r="P104">
        <v>0</v>
      </c>
    </row>
    <row r="105" spans="1:16" x14ac:dyDescent="0.45">
      <c r="A105" t="s">
        <v>62</v>
      </c>
      <c r="B105" t="s">
        <v>29</v>
      </c>
      <c r="C105" t="s">
        <v>29</v>
      </c>
      <c r="D105" t="s">
        <v>60</v>
      </c>
      <c r="E105">
        <v>15</v>
      </c>
      <c r="F105">
        <v>20</v>
      </c>
      <c r="G105" t="s">
        <v>64</v>
      </c>
      <c r="H105" t="s">
        <v>41</v>
      </c>
      <c r="I105" s="24">
        <v>46027</v>
      </c>
      <c r="J105" t="s">
        <v>117</v>
      </c>
      <c r="K105" t="s">
        <v>117</v>
      </c>
      <c r="L105" t="s">
        <v>117</v>
      </c>
      <c r="M105">
        <v>0</v>
      </c>
      <c r="N105">
        <v>0</v>
      </c>
      <c r="O105">
        <v>2.8571428571428572</v>
      </c>
      <c r="P105">
        <v>0</v>
      </c>
    </row>
    <row r="106" spans="1:16" x14ac:dyDescent="0.45">
      <c r="A106" t="s">
        <v>48</v>
      </c>
      <c r="B106" t="s">
        <v>30</v>
      </c>
      <c r="C106" t="s">
        <v>28</v>
      </c>
      <c r="D106" t="s">
        <v>49</v>
      </c>
      <c r="E106">
        <v>30</v>
      </c>
      <c r="F106">
        <v>40</v>
      </c>
      <c r="G106" t="s">
        <v>65</v>
      </c>
      <c r="H106" t="s">
        <v>41</v>
      </c>
      <c r="I106" s="24">
        <v>46028</v>
      </c>
      <c r="J106" t="s">
        <v>117</v>
      </c>
      <c r="K106" t="s">
        <v>117</v>
      </c>
      <c r="L106" t="s">
        <v>117</v>
      </c>
      <c r="M106">
        <v>0</v>
      </c>
      <c r="N106">
        <v>0</v>
      </c>
      <c r="O106">
        <v>5.7142857142857144</v>
      </c>
      <c r="P106">
        <v>0</v>
      </c>
    </row>
    <row r="107" spans="1:16" x14ac:dyDescent="0.45">
      <c r="A107" t="s">
        <v>50</v>
      </c>
      <c r="B107" t="s">
        <v>27</v>
      </c>
      <c r="C107" t="s">
        <v>28</v>
      </c>
      <c r="D107" t="s">
        <v>49</v>
      </c>
      <c r="E107">
        <v>25</v>
      </c>
      <c r="F107">
        <v>40</v>
      </c>
      <c r="G107" t="s">
        <v>65</v>
      </c>
      <c r="H107" t="s">
        <v>41</v>
      </c>
      <c r="I107" s="24">
        <v>46028</v>
      </c>
      <c r="J107" t="s">
        <v>117</v>
      </c>
      <c r="K107" t="s">
        <v>117</v>
      </c>
      <c r="L107" t="s">
        <v>117</v>
      </c>
      <c r="M107">
        <v>0</v>
      </c>
      <c r="N107">
        <v>0</v>
      </c>
      <c r="O107">
        <v>5.7142857142857144</v>
      </c>
      <c r="P107">
        <v>0</v>
      </c>
    </row>
    <row r="108" spans="1:16" x14ac:dyDescent="0.45">
      <c r="A108" t="s">
        <v>51</v>
      </c>
      <c r="B108" t="s">
        <v>27</v>
      </c>
      <c r="C108" t="s">
        <v>28</v>
      </c>
      <c r="D108" t="s">
        <v>49</v>
      </c>
      <c r="E108">
        <v>25</v>
      </c>
      <c r="F108">
        <v>40</v>
      </c>
      <c r="G108" t="s">
        <v>65</v>
      </c>
      <c r="H108" t="s">
        <v>41</v>
      </c>
      <c r="I108" s="24">
        <v>46028</v>
      </c>
      <c r="J108" t="s">
        <v>117</v>
      </c>
      <c r="K108" t="s">
        <v>117</v>
      </c>
      <c r="L108" t="s">
        <v>117</v>
      </c>
      <c r="M108">
        <v>0</v>
      </c>
      <c r="N108">
        <v>0</v>
      </c>
      <c r="O108">
        <v>5.7142857142857144</v>
      </c>
      <c r="P108">
        <v>0</v>
      </c>
    </row>
    <row r="109" spans="1:16" x14ac:dyDescent="0.45">
      <c r="A109" t="s">
        <v>52</v>
      </c>
      <c r="B109" t="s">
        <v>26</v>
      </c>
      <c r="C109" t="s">
        <v>26</v>
      </c>
      <c r="D109" t="s">
        <v>49</v>
      </c>
      <c r="E109">
        <v>35</v>
      </c>
      <c r="F109">
        <v>40</v>
      </c>
      <c r="G109" t="s">
        <v>65</v>
      </c>
      <c r="H109" t="s">
        <v>41</v>
      </c>
      <c r="I109" s="24">
        <v>46028</v>
      </c>
      <c r="J109" t="s">
        <v>117</v>
      </c>
      <c r="K109" t="s">
        <v>117</v>
      </c>
      <c r="L109" t="s">
        <v>117</v>
      </c>
      <c r="M109">
        <v>0</v>
      </c>
      <c r="N109">
        <v>0</v>
      </c>
      <c r="O109">
        <v>5.7142857142857144</v>
      </c>
      <c r="P109">
        <v>0</v>
      </c>
    </row>
    <row r="110" spans="1:16" x14ac:dyDescent="0.45">
      <c r="A110" t="s">
        <v>53</v>
      </c>
      <c r="B110" t="s">
        <v>26</v>
      </c>
      <c r="C110" t="s">
        <v>26</v>
      </c>
      <c r="D110" t="s">
        <v>49</v>
      </c>
      <c r="E110">
        <v>35</v>
      </c>
      <c r="F110">
        <v>40</v>
      </c>
      <c r="G110" t="s">
        <v>65</v>
      </c>
      <c r="H110" t="s">
        <v>41</v>
      </c>
      <c r="I110" s="24">
        <v>46028</v>
      </c>
      <c r="J110" t="s">
        <v>117</v>
      </c>
      <c r="K110" t="s">
        <v>117</v>
      </c>
      <c r="L110" t="s">
        <v>117</v>
      </c>
      <c r="M110">
        <v>0</v>
      </c>
      <c r="N110">
        <v>0</v>
      </c>
      <c r="O110">
        <v>5.7142857142857144</v>
      </c>
      <c r="P110">
        <v>0</v>
      </c>
    </row>
    <row r="111" spans="1:16" x14ac:dyDescent="0.45">
      <c r="A111" t="s">
        <v>54</v>
      </c>
      <c r="B111" t="s">
        <v>25</v>
      </c>
      <c r="C111" t="s">
        <v>26</v>
      </c>
      <c r="D111" t="s">
        <v>49</v>
      </c>
      <c r="E111">
        <v>28</v>
      </c>
      <c r="F111">
        <v>40</v>
      </c>
      <c r="G111" t="s">
        <v>65</v>
      </c>
      <c r="H111" t="s">
        <v>41</v>
      </c>
      <c r="I111" s="24">
        <v>46028</v>
      </c>
      <c r="J111" t="s">
        <v>117</v>
      </c>
      <c r="K111" t="s">
        <v>117</v>
      </c>
      <c r="L111" t="s">
        <v>117</v>
      </c>
      <c r="M111">
        <v>0</v>
      </c>
      <c r="N111">
        <v>0</v>
      </c>
      <c r="O111">
        <v>5.7142857142857144</v>
      </c>
      <c r="P111">
        <v>0</v>
      </c>
    </row>
    <row r="112" spans="1:16" x14ac:dyDescent="0.45">
      <c r="A112" t="s">
        <v>55</v>
      </c>
      <c r="B112" t="s">
        <v>25</v>
      </c>
      <c r="C112" t="s">
        <v>26</v>
      </c>
      <c r="D112" t="s">
        <v>49</v>
      </c>
      <c r="E112">
        <v>28</v>
      </c>
      <c r="F112">
        <v>40</v>
      </c>
      <c r="G112" t="s">
        <v>65</v>
      </c>
      <c r="H112" t="s">
        <v>41</v>
      </c>
      <c r="I112" s="24">
        <v>46028</v>
      </c>
      <c r="J112" t="s">
        <v>117</v>
      </c>
      <c r="K112" t="s">
        <v>117</v>
      </c>
      <c r="L112" t="s">
        <v>117</v>
      </c>
      <c r="M112">
        <v>0</v>
      </c>
      <c r="N112">
        <v>0</v>
      </c>
      <c r="O112">
        <v>5.7142857142857144</v>
      </c>
      <c r="P112">
        <v>0</v>
      </c>
    </row>
    <row r="113" spans="1:16" x14ac:dyDescent="0.45">
      <c r="A113" t="s">
        <v>56</v>
      </c>
      <c r="B113" t="s">
        <v>29</v>
      </c>
      <c r="C113" t="s">
        <v>29</v>
      </c>
      <c r="D113" t="s">
        <v>49</v>
      </c>
      <c r="E113">
        <v>20</v>
      </c>
      <c r="F113">
        <v>40</v>
      </c>
      <c r="G113" t="s">
        <v>65</v>
      </c>
      <c r="H113" t="s">
        <v>41</v>
      </c>
      <c r="I113" s="24">
        <v>46028</v>
      </c>
      <c r="J113" t="s">
        <v>117</v>
      </c>
      <c r="K113" t="s">
        <v>117</v>
      </c>
      <c r="L113" t="s">
        <v>117</v>
      </c>
      <c r="M113">
        <v>0</v>
      </c>
      <c r="N113">
        <v>0</v>
      </c>
      <c r="O113">
        <v>5.7142857142857144</v>
      </c>
      <c r="P113">
        <v>0</v>
      </c>
    </row>
    <row r="114" spans="1:16" x14ac:dyDescent="0.45">
      <c r="A114" t="s">
        <v>57</v>
      </c>
      <c r="B114" t="s">
        <v>29</v>
      </c>
      <c r="C114" t="s">
        <v>29</v>
      </c>
      <c r="D114" t="s">
        <v>49</v>
      </c>
      <c r="E114">
        <v>20</v>
      </c>
      <c r="F114">
        <v>40</v>
      </c>
      <c r="G114" t="s">
        <v>65</v>
      </c>
      <c r="H114" t="s">
        <v>41</v>
      </c>
      <c r="I114" s="24">
        <v>46028</v>
      </c>
      <c r="J114" t="s">
        <v>117</v>
      </c>
      <c r="K114" t="s">
        <v>117</v>
      </c>
      <c r="L114" t="s">
        <v>117</v>
      </c>
      <c r="M114">
        <v>0</v>
      </c>
      <c r="N114">
        <v>0</v>
      </c>
      <c r="O114">
        <v>5.7142857142857144</v>
      </c>
      <c r="P114">
        <v>0</v>
      </c>
    </row>
    <row r="115" spans="1:16" x14ac:dyDescent="0.45">
      <c r="A115" t="s">
        <v>58</v>
      </c>
      <c r="B115" t="s">
        <v>29</v>
      </c>
      <c r="C115" t="s">
        <v>29</v>
      </c>
      <c r="D115" t="s">
        <v>49</v>
      </c>
      <c r="E115">
        <v>20</v>
      </c>
      <c r="F115">
        <v>40</v>
      </c>
      <c r="G115" t="s">
        <v>65</v>
      </c>
      <c r="H115" t="s">
        <v>41</v>
      </c>
      <c r="I115" s="24">
        <v>46028</v>
      </c>
      <c r="J115" t="s">
        <v>117</v>
      </c>
      <c r="K115" t="s">
        <v>117</v>
      </c>
      <c r="L115" t="s">
        <v>117</v>
      </c>
      <c r="M115">
        <v>0</v>
      </c>
      <c r="N115">
        <v>0</v>
      </c>
      <c r="O115">
        <v>5.7142857142857144</v>
      </c>
      <c r="P115">
        <v>0</v>
      </c>
    </row>
    <row r="116" spans="1:16" x14ac:dyDescent="0.45">
      <c r="A116" t="s">
        <v>59</v>
      </c>
      <c r="B116" t="s">
        <v>29</v>
      </c>
      <c r="C116" t="s">
        <v>29</v>
      </c>
      <c r="D116" t="s">
        <v>60</v>
      </c>
      <c r="E116">
        <v>15</v>
      </c>
      <c r="F116">
        <v>20</v>
      </c>
      <c r="G116" t="s">
        <v>65</v>
      </c>
      <c r="H116" t="s">
        <v>41</v>
      </c>
      <c r="I116" s="24">
        <v>46028</v>
      </c>
      <c r="J116" t="s">
        <v>117</v>
      </c>
      <c r="K116" t="s">
        <v>117</v>
      </c>
      <c r="L116" t="s">
        <v>117</v>
      </c>
      <c r="M116">
        <v>0</v>
      </c>
      <c r="N116">
        <v>0</v>
      </c>
      <c r="O116">
        <v>2.8571428571428572</v>
      </c>
      <c r="P116">
        <v>0</v>
      </c>
    </row>
    <row r="117" spans="1:16" x14ac:dyDescent="0.45">
      <c r="A117" t="s">
        <v>61</v>
      </c>
      <c r="B117" t="s">
        <v>29</v>
      </c>
      <c r="C117" t="s">
        <v>29</v>
      </c>
      <c r="D117" t="s">
        <v>60</v>
      </c>
      <c r="E117">
        <v>15</v>
      </c>
      <c r="F117">
        <v>20</v>
      </c>
      <c r="G117" t="s">
        <v>65</v>
      </c>
      <c r="H117" t="s">
        <v>41</v>
      </c>
      <c r="I117" s="24">
        <v>46028</v>
      </c>
      <c r="J117" t="s">
        <v>117</v>
      </c>
      <c r="K117" t="s">
        <v>117</v>
      </c>
      <c r="L117" t="s">
        <v>117</v>
      </c>
      <c r="M117">
        <v>0</v>
      </c>
      <c r="N117">
        <v>0</v>
      </c>
      <c r="O117">
        <v>2.8571428571428572</v>
      </c>
      <c r="P117">
        <v>0</v>
      </c>
    </row>
    <row r="118" spans="1:16" x14ac:dyDescent="0.45">
      <c r="A118" t="s">
        <v>62</v>
      </c>
      <c r="B118" t="s">
        <v>29</v>
      </c>
      <c r="C118" t="s">
        <v>29</v>
      </c>
      <c r="D118" t="s">
        <v>60</v>
      </c>
      <c r="E118">
        <v>15</v>
      </c>
      <c r="F118">
        <v>20</v>
      </c>
      <c r="G118" t="s">
        <v>65</v>
      </c>
      <c r="H118" t="s">
        <v>41</v>
      </c>
      <c r="I118" s="24">
        <v>46028</v>
      </c>
      <c r="J118" t="s">
        <v>117</v>
      </c>
      <c r="K118" t="s">
        <v>117</v>
      </c>
      <c r="L118" t="s">
        <v>117</v>
      </c>
      <c r="M118">
        <v>0</v>
      </c>
      <c r="N118">
        <v>0</v>
      </c>
      <c r="O118">
        <v>2.8571428571428572</v>
      </c>
      <c r="P118">
        <v>0</v>
      </c>
    </row>
    <row r="119" spans="1:16" x14ac:dyDescent="0.45">
      <c r="A119" t="s">
        <v>48</v>
      </c>
      <c r="B119" t="s">
        <v>30</v>
      </c>
      <c r="C119" t="s">
        <v>28</v>
      </c>
      <c r="D119" t="s">
        <v>49</v>
      </c>
      <c r="E119">
        <v>30</v>
      </c>
      <c r="F119">
        <v>40</v>
      </c>
      <c r="G119" t="s">
        <v>66</v>
      </c>
      <c r="H119" t="s">
        <v>41</v>
      </c>
      <c r="I119" s="24">
        <v>46029</v>
      </c>
      <c r="J119" t="s">
        <v>117</v>
      </c>
      <c r="K119" t="s">
        <v>118</v>
      </c>
      <c r="L119" t="s">
        <v>118</v>
      </c>
      <c r="M119">
        <v>0</v>
      </c>
      <c r="N119">
        <v>0</v>
      </c>
      <c r="O119">
        <v>5.7142857142857144</v>
      </c>
      <c r="P119">
        <v>0</v>
      </c>
    </row>
    <row r="120" spans="1:16" x14ac:dyDescent="0.45">
      <c r="A120" t="s">
        <v>50</v>
      </c>
      <c r="B120" t="s">
        <v>27</v>
      </c>
      <c r="C120" t="s">
        <v>28</v>
      </c>
      <c r="D120" t="s">
        <v>49</v>
      </c>
      <c r="E120">
        <v>25</v>
      </c>
      <c r="F120">
        <v>40</v>
      </c>
      <c r="G120" t="s">
        <v>66</v>
      </c>
      <c r="H120" t="s">
        <v>41</v>
      </c>
      <c r="I120" s="24">
        <v>46029</v>
      </c>
      <c r="J120" t="s">
        <v>117</v>
      </c>
      <c r="K120" t="s">
        <v>118</v>
      </c>
      <c r="L120" t="s">
        <v>118</v>
      </c>
      <c r="M120">
        <v>0</v>
      </c>
      <c r="N120">
        <v>0</v>
      </c>
      <c r="O120">
        <v>5.7142857142857144</v>
      </c>
      <c r="P120">
        <v>0</v>
      </c>
    </row>
    <row r="121" spans="1:16" x14ac:dyDescent="0.45">
      <c r="A121" t="s">
        <v>51</v>
      </c>
      <c r="B121" t="s">
        <v>27</v>
      </c>
      <c r="C121" t="s">
        <v>28</v>
      </c>
      <c r="D121" t="s">
        <v>49</v>
      </c>
      <c r="E121">
        <v>25</v>
      </c>
      <c r="F121">
        <v>40</v>
      </c>
      <c r="G121" t="s">
        <v>66</v>
      </c>
      <c r="H121" t="s">
        <v>41</v>
      </c>
      <c r="I121" s="24">
        <v>46029</v>
      </c>
      <c r="J121" t="s">
        <v>117</v>
      </c>
      <c r="K121" t="s">
        <v>118</v>
      </c>
      <c r="L121" t="s">
        <v>118</v>
      </c>
      <c r="M121">
        <v>0</v>
      </c>
      <c r="N121">
        <v>0</v>
      </c>
      <c r="O121">
        <v>5.7142857142857144</v>
      </c>
      <c r="P121">
        <v>0</v>
      </c>
    </row>
    <row r="122" spans="1:16" x14ac:dyDescent="0.45">
      <c r="A122" t="s">
        <v>52</v>
      </c>
      <c r="B122" t="s">
        <v>26</v>
      </c>
      <c r="C122" t="s">
        <v>26</v>
      </c>
      <c r="D122" t="s">
        <v>49</v>
      </c>
      <c r="E122">
        <v>35</v>
      </c>
      <c r="F122">
        <v>40</v>
      </c>
      <c r="G122" t="s">
        <v>66</v>
      </c>
      <c r="H122" t="s">
        <v>41</v>
      </c>
      <c r="I122" s="24">
        <v>46029</v>
      </c>
      <c r="J122" t="s">
        <v>117</v>
      </c>
      <c r="K122" t="s">
        <v>118</v>
      </c>
      <c r="L122" t="s">
        <v>118</v>
      </c>
      <c r="M122">
        <v>0</v>
      </c>
      <c r="N122">
        <v>0</v>
      </c>
      <c r="O122">
        <v>5.7142857142857144</v>
      </c>
      <c r="P122">
        <v>0</v>
      </c>
    </row>
    <row r="123" spans="1:16" x14ac:dyDescent="0.45">
      <c r="A123" t="s">
        <v>53</v>
      </c>
      <c r="B123" t="s">
        <v>26</v>
      </c>
      <c r="C123" t="s">
        <v>26</v>
      </c>
      <c r="D123" t="s">
        <v>49</v>
      </c>
      <c r="E123">
        <v>35</v>
      </c>
      <c r="F123">
        <v>40</v>
      </c>
      <c r="G123" t="s">
        <v>66</v>
      </c>
      <c r="H123" t="s">
        <v>41</v>
      </c>
      <c r="I123" s="24">
        <v>46029</v>
      </c>
      <c r="J123" t="s">
        <v>117</v>
      </c>
      <c r="K123" t="s">
        <v>118</v>
      </c>
      <c r="L123" t="s">
        <v>118</v>
      </c>
      <c r="M123">
        <v>0</v>
      </c>
      <c r="N123">
        <v>0</v>
      </c>
      <c r="O123">
        <v>5.7142857142857144</v>
      </c>
      <c r="P123">
        <v>0</v>
      </c>
    </row>
    <row r="124" spans="1:16" x14ac:dyDescent="0.45">
      <c r="A124" t="s">
        <v>54</v>
      </c>
      <c r="B124" t="s">
        <v>25</v>
      </c>
      <c r="C124" t="s">
        <v>26</v>
      </c>
      <c r="D124" t="s">
        <v>49</v>
      </c>
      <c r="E124">
        <v>28</v>
      </c>
      <c r="F124">
        <v>40</v>
      </c>
      <c r="G124" t="s">
        <v>66</v>
      </c>
      <c r="H124" t="s">
        <v>41</v>
      </c>
      <c r="I124" s="24">
        <v>46029</v>
      </c>
      <c r="J124" t="s">
        <v>117</v>
      </c>
      <c r="K124" t="s">
        <v>118</v>
      </c>
      <c r="L124" t="s">
        <v>118</v>
      </c>
      <c r="M124">
        <v>0</v>
      </c>
      <c r="N124">
        <v>0</v>
      </c>
      <c r="O124">
        <v>5.7142857142857144</v>
      </c>
      <c r="P124">
        <v>0</v>
      </c>
    </row>
    <row r="125" spans="1:16" x14ac:dyDescent="0.45">
      <c r="A125" t="s">
        <v>55</v>
      </c>
      <c r="B125" t="s">
        <v>25</v>
      </c>
      <c r="C125" t="s">
        <v>26</v>
      </c>
      <c r="D125" t="s">
        <v>49</v>
      </c>
      <c r="E125">
        <v>28</v>
      </c>
      <c r="F125">
        <v>40</v>
      </c>
      <c r="G125" t="s">
        <v>66</v>
      </c>
      <c r="H125" t="s">
        <v>41</v>
      </c>
      <c r="I125" s="24">
        <v>46029</v>
      </c>
      <c r="J125" t="s">
        <v>117</v>
      </c>
      <c r="K125" t="s">
        <v>118</v>
      </c>
      <c r="L125" t="s">
        <v>118</v>
      </c>
      <c r="M125">
        <v>0</v>
      </c>
      <c r="N125">
        <v>0</v>
      </c>
      <c r="O125">
        <v>5.7142857142857144</v>
      </c>
      <c r="P125">
        <v>0</v>
      </c>
    </row>
    <row r="126" spans="1:16" x14ac:dyDescent="0.45">
      <c r="A126" t="s">
        <v>56</v>
      </c>
      <c r="B126" t="s">
        <v>29</v>
      </c>
      <c r="C126" t="s">
        <v>29</v>
      </c>
      <c r="D126" t="s">
        <v>49</v>
      </c>
      <c r="E126">
        <v>20</v>
      </c>
      <c r="F126">
        <v>40</v>
      </c>
      <c r="G126" t="s">
        <v>66</v>
      </c>
      <c r="H126" t="s">
        <v>41</v>
      </c>
      <c r="I126" s="24">
        <v>46029</v>
      </c>
      <c r="J126" t="s">
        <v>117</v>
      </c>
      <c r="K126" t="s">
        <v>118</v>
      </c>
      <c r="L126" t="s">
        <v>118</v>
      </c>
      <c r="M126">
        <v>0</v>
      </c>
      <c r="N126">
        <v>0</v>
      </c>
      <c r="O126">
        <v>5.7142857142857144</v>
      </c>
      <c r="P126">
        <v>0</v>
      </c>
    </row>
    <row r="127" spans="1:16" x14ac:dyDescent="0.45">
      <c r="A127" t="s">
        <v>57</v>
      </c>
      <c r="B127" t="s">
        <v>29</v>
      </c>
      <c r="C127" t="s">
        <v>29</v>
      </c>
      <c r="D127" t="s">
        <v>49</v>
      </c>
      <c r="E127">
        <v>20</v>
      </c>
      <c r="F127">
        <v>40</v>
      </c>
      <c r="G127" t="s">
        <v>66</v>
      </c>
      <c r="H127" t="s">
        <v>41</v>
      </c>
      <c r="I127" s="24">
        <v>46029</v>
      </c>
      <c r="J127" t="s">
        <v>117</v>
      </c>
      <c r="K127" t="s">
        <v>118</v>
      </c>
      <c r="L127" t="s">
        <v>118</v>
      </c>
      <c r="M127">
        <v>0</v>
      </c>
      <c r="N127">
        <v>0</v>
      </c>
      <c r="O127">
        <v>5.7142857142857144</v>
      </c>
      <c r="P127">
        <v>0</v>
      </c>
    </row>
    <row r="128" spans="1:16" x14ac:dyDescent="0.45">
      <c r="A128" t="s">
        <v>58</v>
      </c>
      <c r="B128" t="s">
        <v>29</v>
      </c>
      <c r="C128" t="s">
        <v>29</v>
      </c>
      <c r="D128" t="s">
        <v>49</v>
      </c>
      <c r="E128">
        <v>20</v>
      </c>
      <c r="F128">
        <v>40</v>
      </c>
      <c r="G128" t="s">
        <v>66</v>
      </c>
      <c r="H128" t="s">
        <v>41</v>
      </c>
      <c r="I128" s="24">
        <v>46029</v>
      </c>
      <c r="J128" t="s">
        <v>117</v>
      </c>
      <c r="K128" t="s">
        <v>118</v>
      </c>
      <c r="L128" t="s">
        <v>118</v>
      </c>
      <c r="M128">
        <v>0</v>
      </c>
      <c r="N128">
        <v>0</v>
      </c>
      <c r="O128">
        <v>5.7142857142857144</v>
      </c>
      <c r="P128">
        <v>0</v>
      </c>
    </row>
    <row r="129" spans="1:16" x14ac:dyDescent="0.45">
      <c r="A129" t="s">
        <v>59</v>
      </c>
      <c r="B129" t="s">
        <v>29</v>
      </c>
      <c r="C129" t="s">
        <v>29</v>
      </c>
      <c r="D129" t="s">
        <v>60</v>
      </c>
      <c r="E129">
        <v>15</v>
      </c>
      <c r="F129">
        <v>20</v>
      </c>
      <c r="G129" t="s">
        <v>66</v>
      </c>
      <c r="H129" t="s">
        <v>41</v>
      </c>
      <c r="I129" s="24">
        <v>46029</v>
      </c>
      <c r="J129" t="s">
        <v>117</v>
      </c>
      <c r="K129" t="s">
        <v>118</v>
      </c>
      <c r="L129" t="s">
        <v>118</v>
      </c>
      <c r="M129">
        <v>0</v>
      </c>
      <c r="N129">
        <v>0</v>
      </c>
      <c r="O129">
        <v>2.8571428571428572</v>
      </c>
      <c r="P129">
        <v>0</v>
      </c>
    </row>
    <row r="130" spans="1:16" x14ac:dyDescent="0.45">
      <c r="A130" t="s">
        <v>61</v>
      </c>
      <c r="B130" t="s">
        <v>29</v>
      </c>
      <c r="C130" t="s">
        <v>29</v>
      </c>
      <c r="D130" t="s">
        <v>60</v>
      </c>
      <c r="E130">
        <v>15</v>
      </c>
      <c r="F130">
        <v>20</v>
      </c>
      <c r="G130" t="s">
        <v>66</v>
      </c>
      <c r="H130" t="s">
        <v>41</v>
      </c>
      <c r="I130" s="24">
        <v>46029</v>
      </c>
      <c r="J130" t="s">
        <v>117</v>
      </c>
      <c r="K130" t="s">
        <v>118</v>
      </c>
      <c r="L130" t="s">
        <v>118</v>
      </c>
      <c r="M130">
        <v>0</v>
      </c>
      <c r="N130">
        <v>0</v>
      </c>
      <c r="O130">
        <v>2.8571428571428572</v>
      </c>
      <c r="P130">
        <v>0</v>
      </c>
    </row>
    <row r="131" spans="1:16" x14ac:dyDescent="0.45">
      <c r="A131" t="s">
        <v>62</v>
      </c>
      <c r="B131" t="s">
        <v>29</v>
      </c>
      <c r="C131" t="s">
        <v>29</v>
      </c>
      <c r="D131" t="s">
        <v>60</v>
      </c>
      <c r="E131">
        <v>15</v>
      </c>
      <c r="F131">
        <v>20</v>
      </c>
      <c r="G131" t="s">
        <v>66</v>
      </c>
      <c r="H131" t="s">
        <v>41</v>
      </c>
      <c r="I131" s="24">
        <v>46029</v>
      </c>
      <c r="J131" t="s">
        <v>117</v>
      </c>
      <c r="K131" t="s">
        <v>118</v>
      </c>
      <c r="L131" t="s">
        <v>118</v>
      </c>
      <c r="M131">
        <v>0</v>
      </c>
      <c r="N131">
        <v>0</v>
      </c>
      <c r="O131">
        <v>2.8571428571428572</v>
      </c>
      <c r="P131">
        <v>0</v>
      </c>
    </row>
    <row r="132" spans="1:16" x14ac:dyDescent="0.45">
      <c r="A132" t="s">
        <v>48</v>
      </c>
      <c r="B132" t="s">
        <v>30</v>
      </c>
      <c r="C132" t="s">
        <v>28</v>
      </c>
      <c r="D132" t="s">
        <v>49</v>
      </c>
      <c r="E132">
        <v>30</v>
      </c>
      <c r="F132">
        <v>40</v>
      </c>
      <c r="G132" t="s">
        <v>67</v>
      </c>
      <c r="H132" t="s">
        <v>41</v>
      </c>
      <c r="I132" s="24">
        <v>46030</v>
      </c>
      <c r="J132" t="s">
        <v>117</v>
      </c>
      <c r="K132" t="s">
        <v>117</v>
      </c>
      <c r="L132" t="s">
        <v>117</v>
      </c>
      <c r="M132">
        <v>0</v>
      </c>
      <c r="N132">
        <v>0</v>
      </c>
      <c r="O132">
        <v>5.7142857142857144</v>
      </c>
      <c r="P132">
        <v>0</v>
      </c>
    </row>
    <row r="133" spans="1:16" x14ac:dyDescent="0.45">
      <c r="A133" t="s">
        <v>50</v>
      </c>
      <c r="B133" t="s">
        <v>27</v>
      </c>
      <c r="C133" t="s">
        <v>28</v>
      </c>
      <c r="D133" t="s">
        <v>49</v>
      </c>
      <c r="E133">
        <v>25</v>
      </c>
      <c r="F133">
        <v>40</v>
      </c>
      <c r="G133" t="s">
        <v>67</v>
      </c>
      <c r="H133" t="s">
        <v>41</v>
      </c>
      <c r="I133" s="24">
        <v>46030</v>
      </c>
      <c r="J133" t="s">
        <v>117</v>
      </c>
      <c r="K133" t="s">
        <v>117</v>
      </c>
      <c r="L133" t="s">
        <v>117</v>
      </c>
      <c r="M133">
        <v>0</v>
      </c>
      <c r="N133">
        <v>0</v>
      </c>
      <c r="O133">
        <v>5.7142857142857144</v>
      </c>
      <c r="P133">
        <v>0</v>
      </c>
    </row>
    <row r="134" spans="1:16" x14ac:dyDescent="0.45">
      <c r="A134" t="s">
        <v>51</v>
      </c>
      <c r="B134" t="s">
        <v>27</v>
      </c>
      <c r="C134" t="s">
        <v>28</v>
      </c>
      <c r="D134" t="s">
        <v>49</v>
      </c>
      <c r="E134">
        <v>25</v>
      </c>
      <c r="F134">
        <v>40</v>
      </c>
      <c r="G134" t="s">
        <v>67</v>
      </c>
      <c r="H134" t="s">
        <v>41</v>
      </c>
      <c r="I134" s="24">
        <v>46030</v>
      </c>
      <c r="J134" t="s">
        <v>117</v>
      </c>
      <c r="K134" t="s">
        <v>117</v>
      </c>
      <c r="L134" t="s">
        <v>117</v>
      </c>
      <c r="M134">
        <v>0</v>
      </c>
      <c r="N134">
        <v>0</v>
      </c>
      <c r="O134">
        <v>5.7142857142857144</v>
      </c>
      <c r="P134">
        <v>0</v>
      </c>
    </row>
    <row r="135" spans="1:16" x14ac:dyDescent="0.45">
      <c r="A135" t="s">
        <v>52</v>
      </c>
      <c r="B135" t="s">
        <v>26</v>
      </c>
      <c r="C135" t="s">
        <v>26</v>
      </c>
      <c r="D135" t="s">
        <v>49</v>
      </c>
      <c r="E135">
        <v>35</v>
      </c>
      <c r="F135">
        <v>40</v>
      </c>
      <c r="G135" t="s">
        <v>67</v>
      </c>
      <c r="H135" t="s">
        <v>41</v>
      </c>
      <c r="I135" s="24">
        <v>46030</v>
      </c>
      <c r="J135" t="s">
        <v>117</v>
      </c>
      <c r="K135" t="s">
        <v>117</v>
      </c>
      <c r="L135" t="s">
        <v>117</v>
      </c>
      <c r="M135">
        <v>0</v>
      </c>
      <c r="N135">
        <v>0</v>
      </c>
      <c r="O135">
        <v>5.7142857142857144</v>
      </c>
      <c r="P135">
        <v>0</v>
      </c>
    </row>
    <row r="136" spans="1:16" x14ac:dyDescent="0.45">
      <c r="A136" t="s">
        <v>53</v>
      </c>
      <c r="B136" t="s">
        <v>26</v>
      </c>
      <c r="C136" t="s">
        <v>26</v>
      </c>
      <c r="D136" t="s">
        <v>49</v>
      </c>
      <c r="E136">
        <v>35</v>
      </c>
      <c r="F136">
        <v>40</v>
      </c>
      <c r="G136" t="s">
        <v>67</v>
      </c>
      <c r="H136" t="s">
        <v>41</v>
      </c>
      <c r="I136" s="24">
        <v>46030</v>
      </c>
      <c r="J136" t="s">
        <v>117</v>
      </c>
      <c r="K136" t="s">
        <v>117</v>
      </c>
      <c r="L136" t="s">
        <v>117</v>
      </c>
      <c r="M136">
        <v>0</v>
      </c>
      <c r="N136">
        <v>0</v>
      </c>
      <c r="O136">
        <v>5.7142857142857144</v>
      </c>
      <c r="P136">
        <v>0</v>
      </c>
    </row>
    <row r="137" spans="1:16" x14ac:dyDescent="0.45">
      <c r="A137" t="s">
        <v>54</v>
      </c>
      <c r="B137" t="s">
        <v>25</v>
      </c>
      <c r="C137" t="s">
        <v>26</v>
      </c>
      <c r="D137" t="s">
        <v>49</v>
      </c>
      <c r="E137">
        <v>28</v>
      </c>
      <c r="F137">
        <v>40</v>
      </c>
      <c r="G137" t="s">
        <v>67</v>
      </c>
      <c r="H137" t="s">
        <v>41</v>
      </c>
      <c r="I137" s="24">
        <v>46030</v>
      </c>
      <c r="J137" t="s">
        <v>117</v>
      </c>
      <c r="K137" t="s">
        <v>117</v>
      </c>
      <c r="L137" t="s">
        <v>117</v>
      </c>
      <c r="M137">
        <v>0</v>
      </c>
      <c r="N137">
        <v>0</v>
      </c>
      <c r="O137">
        <v>5.7142857142857144</v>
      </c>
      <c r="P137">
        <v>0</v>
      </c>
    </row>
    <row r="138" spans="1:16" x14ac:dyDescent="0.45">
      <c r="A138" t="s">
        <v>55</v>
      </c>
      <c r="B138" t="s">
        <v>25</v>
      </c>
      <c r="C138" t="s">
        <v>26</v>
      </c>
      <c r="D138" t="s">
        <v>49</v>
      </c>
      <c r="E138">
        <v>28</v>
      </c>
      <c r="F138">
        <v>40</v>
      </c>
      <c r="G138" t="s">
        <v>67</v>
      </c>
      <c r="H138" t="s">
        <v>41</v>
      </c>
      <c r="I138" s="24">
        <v>46030</v>
      </c>
      <c r="J138" t="s">
        <v>117</v>
      </c>
      <c r="K138" t="s">
        <v>117</v>
      </c>
      <c r="L138" t="s">
        <v>117</v>
      </c>
      <c r="M138">
        <v>0</v>
      </c>
      <c r="N138">
        <v>0</v>
      </c>
      <c r="O138">
        <v>5.7142857142857144</v>
      </c>
      <c r="P138">
        <v>0</v>
      </c>
    </row>
    <row r="139" spans="1:16" x14ac:dyDescent="0.45">
      <c r="A139" t="s">
        <v>56</v>
      </c>
      <c r="B139" t="s">
        <v>29</v>
      </c>
      <c r="C139" t="s">
        <v>29</v>
      </c>
      <c r="D139" t="s">
        <v>49</v>
      </c>
      <c r="E139">
        <v>20</v>
      </c>
      <c r="F139">
        <v>40</v>
      </c>
      <c r="G139" t="s">
        <v>67</v>
      </c>
      <c r="H139" t="s">
        <v>41</v>
      </c>
      <c r="I139" s="24">
        <v>46030</v>
      </c>
      <c r="J139" t="s">
        <v>117</v>
      </c>
      <c r="K139" t="s">
        <v>117</v>
      </c>
      <c r="L139" t="s">
        <v>117</v>
      </c>
      <c r="M139">
        <v>0</v>
      </c>
      <c r="N139">
        <v>0</v>
      </c>
      <c r="O139">
        <v>5.7142857142857144</v>
      </c>
      <c r="P139">
        <v>0</v>
      </c>
    </row>
    <row r="140" spans="1:16" x14ac:dyDescent="0.45">
      <c r="A140" t="s">
        <v>57</v>
      </c>
      <c r="B140" t="s">
        <v>29</v>
      </c>
      <c r="C140" t="s">
        <v>29</v>
      </c>
      <c r="D140" t="s">
        <v>49</v>
      </c>
      <c r="E140">
        <v>20</v>
      </c>
      <c r="F140">
        <v>40</v>
      </c>
      <c r="G140" t="s">
        <v>67</v>
      </c>
      <c r="H140" t="s">
        <v>41</v>
      </c>
      <c r="I140" s="24">
        <v>46030</v>
      </c>
      <c r="J140" t="s">
        <v>117</v>
      </c>
      <c r="K140" t="s">
        <v>117</v>
      </c>
      <c r="L140" t="s">
        <v>117</v>
      </c>
      <c r="M140">
        <v>0</v>
      </c>
      <c r="N140">
        <v>0</v>
      </c>
      <c r="O140">
        <v>5.7142857142857144</v>
      </c>
      <c r="P140">
        <v>0</v>
      </c>
    </row>
    <row r="141" spans="1:16" x14ac:dyDescent="0.45">
      <c r="A141" t="s">
        <v>58</v>
      </c>
      <c r="B141" t="s">
        <v>29</v>
      </c>
      <c r="C141" t="s">
        <v>29</v>
      </c>
      <c r="D141" t="s">
        <v>49</v>
      </c>
      <c r="E141">
        <v>20</v>
      </c>
      <c r="F141">
        <v>40</v>
      </c>
      <c r="G141" t="s">
        <v>67</v>
      </c>
      <c r="H141" t="s">
        <v>41</v>
      </c>
      <c r="I141" s="24">
        <v>46030</v>
      </c>
      <c r="J141" t="s">
        <v>117</v>
      </c>
      <c r="K141" t="s">
        <v>117</v>
      </c>
      <c r="L141" t="s">
        <v>117</v>
      </c>
      <c r="M141">
        <v>0</v>
      </c>
      <c r="N141">
        <v>0</v>
      </c>
      <c r="O141">
        <v>5.7142857142857144</v>
      </c>
      <c r="P141">
        <v>0</v>
      </c>
    </row>
    <row r="142" spans="1:16" x14ac:dyDescent="0.45">
      <c r="A142" t="s">
        <v>59</v>
      </c>
      <c r="B142" t="s">
        <v>29</v>
      </c>
      <c r="C142" t="s">
        <v>29</v>
      </c>
      <c r="D142" t="s">
        <v>60</v>
      </c>
      <c r="E142">
        <v>15</v>
      </c>
      <c r="F142">
        <v>20</v>
      </c>
      <c r="G142" t="s">
        <v>67</v>
      </c>
      <c r="H142" t="s">
        <v>41</v>
      </c>
      <c r="I142" s="24">
        <v>46030</v>
      </c>
      <c r="J142" t="s">
        <v>117</v>
      </c>
      <c r="K142" t="s">
        <v>117</v>
      </c>
      <c r="L142" t="s">
        <v>117</v>
      </c>
      <c r="M142">
        <v>0</v>
      </c>
      <c r="N142">
        <v>0</v>
      </c>
      <c r="O142">
        <v>2.8571428571428572</v>
      </c>
      <c r="P142">
        <v>0</v>
      </c>
    </row>
    <row r="143" spans="1:16" x14ac:dyDescent="0.45">
      <c r="A143" t="s">
        <v>61</v>
      </c>
      <c r="B143" t="s">
        <v>29</v>
      </c>
      <c r="C143" t="s">
        <v>29</v>
      </c>
      <c r="D143" t="s">
        <v>60</v>
      </c>
      <c r="E143">
        <v>15</v>
      </c>
      <c r="F143">
        <v>20</v>
      </c>
      <c r="G143" t="s">
        <v>67</v>
      </c>
      <c r="H143" t="s">
        <v>41</v>
      </c>
      <c r="I143" s="24">
        <v>46030</v>
      </c>
      <c r="J143" t="s">
        <v>117</v>
      </c>
      <c r="K143" t="s">
        <v>117</v>
      </c>
      <c r="L143" t="s">
        <v>117</v>
      </c>
      <c r="M143">
        <v>0</v>
      </c>
      <c r="N143">
        <v>0</v>
      </c>
      <c r="O143">
        <v>2.8571428571428572</v>
      </c>
      <c r="P143">
        <v>0</v>
      </c>
    </row>
    <row r="144" spans="1:16" x14ac:dyDescent="0.45">
      <c r="A144" t="s">
        <v>62</v>
      </c>
      <c r="B144" t="s">
        <v>29</v>
      </c>
      <c r="C144" t="s">
        <v>29</v>
      </c>
      <c r="D144" t="s">
        <v>60</v>
      </c>
      <c r="E144">
        <v>15</v>
      </c>
      <c r="F144">
        <v>20</v>
      </c>
      <c r="G144" t="s">
        <v>67</v>
      </c>
      <c r="H144" t="s">
        <v>41</v>
      </c>
      <c r="I144" s="24">
        <v>46030</v>
      </c>
      <c r="J144" t="s">
        <v>117</v>
      </c>
      <c r="K144" t="s">
        <v>117</v>
      </c>
      <c r="L144" t="s">
        <v>117</v>
      </c>
      <c r="M144">
        <v>0</v>
      </c>
      <c r="N144">
        <v>0</v>
      </c>
      <c r="O144">
        <v>2.8571428571428572</v>
      </c>
      <c r="P144">
        <v>0</v>
      </c>
    </row>
    <row r="145" spans="1:16" x14ac:dyDescent="0.45">
      <c r="A145" t="s">
        <v>48</v>
      </c>
      <c r="B145" t="s">
        <v>30</v>
      </c>
      <c r="C145" t="s">
        <v>28</v>
      </c>
      <c r="D145" t="s">
        <v>49</v>
      </c>
      <c r="E145">
        <v>30</v>
      </c>
      <c r="F145">
        <v>40</v>
      </c>
      <c r="G145" t="s">
        <v>68</v>
      </c>
      <c r="H145" t="s">
        <v>35</v>
      </c>
      <c r="I145" s="24">
        <v>46031</v>
      </c>
      <c r="J145" t="s">
        <v>117</v>
      </c>
      <c r="K145" t="s">
        <v>117</v>
      </c>
      <c r="L145" t="s">
        <v>117</v>
      </c>
      <c r="M145">
        <v>7</v>
      </c>
      <c r="N145">
        <v>210</v>
      </c>
      <c r="O145">
        <v>5.7142857142857144</v>
      </c>
      <c r="P145">
        <v>0</v>
      </c>
    </row>
    <row r="146" spans="1:16" x14ac:dyDescent="0.45">
      <c r="A146" t="s">
        <v>50</v>
      </c>
      <c r="B146" t="s">
        <v>27</v>
      </c>
      <c r="C146" t="s">
        <v>28</v>
      </c>
      <c r="D146" t="s">
        <v>49</v>
      </c>
      <c r="E146">
        <v>25</v>
      </c>
      <c r="F146">
        <v>40</v>
      </c>
      <c r="G146" t="s">
        <v>68</v>
      </c>
      <c r="H146" t="s">
        <v>37</v>
      </c>
      <c r="I146" s="24">
        <v>46031</v>
      </c>
      <c r="J146" t="s">
        <v>117</v>
      </c>
      <c r="K146" t="s">
        <v>117</v>
      </c>
      <c r="L146" t="s">
        <v>117</v>
      </c>
      <c r="M146">
        <v>7</v>
      </c>
      <c r="N146">
        <v>175</v>
      </c>
      <c r="O146">
        <v>5.7142857142857144</v>
      </c>
      <c r="P146">
        <v>0</v>
      </c>
    </row>
    <row r="147" spans="1:16" x14ac:dyDescent="0.45">
      <c r="A147" t="s">
        <v>51</v>
      </c>
      <c r="B147" t="s">
        <v>27</v>
      </c>
      <c r="C147" t="s">
        <v>28</v>
      </c>
      <c r="D147" t="s">
        <v>49</v>
      </c>
      <c r="E147">
        <v>25</v>
      </c>
      <c r="F147">
        <v>40</v>
      </c>
      <c r="G147" t="s">
        <v>68</v>
      </c>
      <c r="H147" t="s">
        <v>35</v>
      </c>
      <c r="I147" s="24">
        <v>46031</v>
      </c>
      <c r="J147" t="s">
        <v>117</v>
      </c>
      <c r="K147" t="s">
        <v>117</v>
      </c>
      <c r="L147" t="s">
        <v>117</v>
      </c>
      <c r="M147">
        <v>7</v>
      </c>
      <c r="N147">
        <v>175</v>
      </c>
      <c r="O147">
        <v>5.7142857142857144</v>
      </c>
      <c r="P147">
        <v>0</v>
      </c>
    </row>
    <row r="148" spans="1:16" x14ac:dyDescent="0.45">
      <c r="A148" t="s">
        <v>52</v>
      </c>
      <c r="B148" t="s">
        <v>26</v>
      </c>
      <c r="C148" t="s">
        <v>26</v>
      </c>
      <c r="D148" t="s">
        <v>49</v>
      </c>
      <c r="E148">
        <v>35</v>
      </c>
      <c r="F148">
        <v>40</v>
      </c>
      <c r="G148" t="s">
        <v>68</v>
      </c>
      <c r="H148" t="s">
        <v>41</v>
      </c>
      <c r="I148" s="24">
        <v>46031</v>
      </c>
      <c r="J148" t="s">
        <v>117</v>
      </c>
      <c r="K148" t="s">
        <v>117</v>
      </c>
      <c r="L148" t="s">
        <v>117</v>
      </c>
      <c r="M148">
        <v>0</v>
      </c>
      <c r="N148">
        <v>0</v>
      </c>
      <c r="O148">
        <v>5.7142857142857144</v>
      </c>
      <c r="P148">
        <v>0</v>
      </c>
    </row>
    <row r="149" spans="1:16" x14ac:dyDescent="0.45">
      <c r="A149" t="s">
        <v>53</v>
      </c>
      <c r="B149" t="s">
        <v>26</v>
      </c>
      <c r="C149" t="s">
        <v>26</v>
      </c>
      <c r="D149" t="s">
        <v>49</v>
      </c>
      <c r="E149">
        <v>35</v>
      </c>
      <c r="F149">
        <v>40</v>
      </c>
      <c r="G149" t="s">
        <v>68</v>
      </c>
      <c r="H149" t="s">
        <v>41</v>
      </c>
      <c r="I149" s="24">
        <v>46031</v>
      </c>
      <c r="J149" t="s">
        <v>117</v>
      </c>
      <c r="K149" t="s">
        <v>117</v>
      </c>
      <c r="L149" t="s">
        <v>117</v>
      </c>
      <c r="M149">
        <v>0</v>
      </c>
      <c r="N149">
        <v>0</v>
      </c>
      <c r="O149">
        <v>5.7142857142857144</v>
      </c>
      <c r="P149">
        <v>0</v>
      </c>
    </row>
    <row r="150" spans="1:16" x14ac:dyDescent="0.45">
      <c r="A150" t="s">
        <v>54</v>
      </c>
      <c r="B150" t="s">
        <v>25</v>
      </c>
      <c r="C150" t="s">
        <v>26</v>
      </c>
      <c r="D150" t="s">
        <v>49</v>
      </c>
      <c r="E150">
        <v>28</v>
      </c>
      <c r="F150">
        <v>40</v>
      </c>
      <c r="G150" t="s">
        <v>68</v>
      </c>
      <c r="H150" t="s">
        <v>42</v>
      </c>
      <c r="I150" s="24">
        <v>46031</v>
      </c>
      <c r="J150" t="s">
        <v>117</v>
      </c>
      <c r="K150" t="s">
        <v>117</v>
      </c>
      <c r="L150" t="s">
        <v>117</v>
      </c>
      <c r="M150">
        <v>7.9999999999999982</v>
      </c>
      <c r="N150">
        <v>223.99999999999994</v>
      </c>
      <c r="O150">
        <v>5.7142857142857144</v>
      </c>
      <c r="P150">
        <v>0</v>
      </c>
    </row>
    <row r="151" spans="1:16" x14ac:dyDescent="0.45">
      <c r="A151" t="s">
        <v>55</v>
      </c>
      <c r="B151" t="s">
        <v>25</v>
      </c>
      <c r="C151" t="s">
        <v>26</v>
      </c>
      <c r="D151" t="s">
        <v>49</v>
      </c>
      <c r="E151">
        <v>28</v>
      </c>
      <c r="F151">
        <v>40</v>
      </c>
      <c r="G151" t="s">
        <v>68</v>
      </c>
      <c r="H151" t="s">
        <v>44</v>
      </c>
      <c r="I151" s="24">
        <v>46031</v>
      </c>
      <c r="J151" t="s">
        <v>117</v>
      </c>
      <c r="K151" t="s">
        <v>117</v>
      </c>
      <c r="L151" t="s">
        <v>117</v>
      </c>
      <c r="M151">
        <v>8</v>
      </c>
      <c r="N151">
        <v>224</v>
      </c>
      <c r="O151">
        <v>5.7142857142857144</v>
      </c>
      <c r="P151">
        <v>0</v>
      </c>
    </row>
    <row r="152" spans="1:16" x14ac:dyDescent="0.45">
      <c r="A152" t="s">
        <v>56</v>
      </c>
      <c r="B152" t="s">
        <v>29</v>
      </c>
      <c r="C152" t="s">
        <v>29</v>
      </c>
      <c r="D152" t="s">
        <v>49</v>
      </c>
      <c r="E152">
        <v>20</v>
      </c>
      <c r="F152">
        <v>40</v>
      </c>
      <c r="G152" t="s">
        <v>68</v>
      </c>
      <c r="H152" t="s">
        <v>44</v>
      </c>
      <c r="I152" s="24">
        <v>46031</v>
      </c>
      <c r="J152" t="s">
        <v>117</v>
      </c>
      <c r="K152" t="s">
        <v>117</v>
      </c>
      <c r="L152" t="s">
        <v>117</v>
      </c>
      <c r="M152">
        <v>8</v>
      </c>
      <c r="N152">
        <v>160</v>
      </c>
      <c r="O152">
        <v>5.7142857142857144</v>
      </c>
      <c r="P152">
        <v>0</v>
      </c>
    </row>
    <row r="153" spans="1:16" x14ac:dyDescent="0.45">
      <c r="A153" t="s">
        <v>57</v>
      </c>
      <c r="B153" t="s">
        <v>29</v>
      </c>
      <c r="C153" t="s">
        <v>29</v>
      </c>
      <c r="D153" t="s">
        <v>49</v>
      </c>
      <c r="E153">
        <v>20</v>
      </c>
      <c r="F153">
        <v>40</v>
      </c>
      <c r="G153" t="s">
        <v>68</v>
      </c>
      <c r="H153" t="s">
        <v>41</v>
      </c>
      <c r="I153" s="24">
        <v>46031</v>
      </c>
      <c r="J153" t="s">
        <v>117</v>
      </c>
      <c r="K153" t="s">
        <v>117</v>
      </c>
      <c r="L153" t="s">
        <v>117</v>
      </c>
      <c r="M153">
        <v>0</v>
      </c>
      <c r="N153">
        <v>0</v>
      </c>
      <c r="O153">
        <v>5.7142857142857144</v>
      </c>
      <c r="P153">
        <v>0</v>
      </c>
    </row>
    <row r="154" spans="1:16" x14ac:dyDescent="0.45">
      <c r="A154" t="s">
        <v>58</v>
      </c>
      <c r="B154" t="s">
        <v>29</v>
      </c>
      <c r="C154" t="s">
        <v>29</v>
      </c>
      <c r="D154" t="s">
        <v>49</v>
      </c>
      <c r="E154">
        <v>20</v>
      </c>
      <c r="F154">
        <v>40</v>
      </c>
      <c r="G154" t="s">
        <v>68</v>
      </c>
      <c r="H154" t="s">
        <v>46</v>
      </c>
      <c r="I154" s="24">
        <v>46031</v>
      </c>
      <c r="J154" t="s">
        <v>117</v>
      </c>
      <c r="K154" t="s">
        <v>117</v>
      </c>
      <c r="L154" t="s">
        <v>117</v>
      </c>
      <c r="M154">
        <v>4.9999999999999982</v>
      </c>
      <c r="N154">
        <v>99.999999999999972</v>
      </c>
      <c r="O154">
        <v>5.7142857142857144</v>
      </c>
      <c r="P154">
        <v>0</v>
      </c>
    </row>
    <row r="155" spans="1:16" x14ac:dyDescent="0.45">
      <c r="A155" t="s">
        <v>59</v>
      </c>
      <c r="B155" t="s">
        <v>29</v>
      </c>
      <c r="C155" t="s">
        <v>29</v>
      </c>
      <c r="D155" t="s">
        <v>60</v>
      </c>
      <c r="E155">
        <v>15</v>
      </c>
      <c r="F155">
        <v>20</v>
      </c>
      <c r="G155" t="s">
        <v>68</v>
      </c>
      <c r="H155" t="s">
        <v>46</v>
      </c>
      <c r="I155" s="24">
        <v>46031</v>
      </c>
      <c r="J155" t="s">
        <v>117</v>
      </c>
      <c r="K155" t="s">
        <v>117</v>
      </c>
      <c r="L155" t="s">
        <v>117</v>
      </c>
      <c r="M155">
        <v>4.9999999999999982</v>
      </c>
      <c r="N155">
        <v>74.999999999999972</v>
      </c>
      <c r="O155">
        <v>2.8571428571428572</v>
      </c>
      <c r="P155">
        <v>0</v>
      </c>
    </row>
    <row r="156" spans="1:16" x14ac:dyDescent="0.45">
      <c r="A156" t="s">
        <v>61</v>
      </c>
      <c r="B156" t="s">
        <v>29</v>
      </c>
      <c r="C156" t="s">
        <v>29</v>
      </c>
      <c r="D156" t="s">
        <v>60</v>
      </c>
      <c r="E156">
        <v>15</v>
      </c>
      <c r="F156">
        <v>20</v>
      </c>
      <c r="G156" t="s">
        <v>68</v>
      </c>
      <c r="H156" t="s">
        <v>46</v>
      </c>
      <c r="I156" s="24">
        <v>46031</v>
      </c>
      <c r="J156" t="s">
        <v>117</v>
      </c>
      <c r="K156" t="s">
        <v>117</v>
      </c>
      <c r="L156" t="s">
        <v>117</v>
      </c>
      <c r="M156">
        <v>4.9999999999999982</v>
      </c>
      <c r="N156">
        <v>74.999999999999972</v>
      </c>
      <c r="O156">
        <v>2.8571428571428572</v>
      </c>
      <c r="P156">
        <v>0</v>
      </c>
    </row>
    <row r="157" spans="1:16" x14ac:dyDescent="0.45">
      <c r="A157" t="s">
        <v>62</v>
      </c>
      <c r="B157" t="s">
        <v>29</v>
      </c>
      <c r="C157" t="s">
        <v>29</v>
      </c>
      <c r="D157" t="s">
        <v>60</v>
      </c>
      <c r="E157">
        <v>15</v>
      </c>
      <c r="F157">
        <v>20</v>
      </c>
      <c r="G157" t="s">
        <v>68</v>
      </c>
      <c r="H157" t="s">
        <v>39</v>
      </c>
      <c r="I157" s="24">
        <v>46031</v>
      </c>
      <c r="J157" t="s">
        <v>117</v>
      </c>
      <c r="K157" t="s">
        <v>117</v>
      </c>
      <c r="L157" t="s">
        <v>117</v>
      </c>
      <c r="M157">
        <v>4.9999999999999982</v>
      </c>
      <c r="N157">
        <v>74.999999999999972</v>
      </c>
      <c r="O157">
        <v>2.8571428571428572</v>
      </c>
      <c r="P157">
        <v>0</v>
      </c>
    </row>
    <row r="158" spans="1:16" x14ac:dyDescent="0.45">
      <c r="A158" t="s">
        <v>48</v>
      </c>
      <c r="B158" t="s">
        <v>30</v>
      </c>
      <c r="C158" t="s">
        <v>28</v>
      </c>
      <c r="D158" t="s">
        <v>49</v>
      </c>
      <c r="E158">
        <v>30</v>
      </c>
      <c r="F158">
        <v>40</v>
      </c>
      <c r="G158" t="s">
        <v>69</v>
      </c>
      <c r="H158" t="s">
        <v>37</v>
      </c>
      <c r="I158" s="24">
        <v>46032</v>
      </c>
      <c r="J158" t="s">
        <v>118</v>
      </c>
      <c r="K158" t="s">
        <v>117</v>
      </c>
      <c r="L158" t="s">
        <v>118</v>
      </c>
      <c r="M158">
        <v>7</v>
      </c>
      <c r="N158">
        <v>315</v>
      </c>
      <c r="O158">
        <v>5.7142857142857144</v>
      </c>
      <c r="P158">
        <v>1</v>
      </c>
    </row>
    <row r="159" spans="1:16" x14ac:dyDescent="0.45">
      <c r="A159" t="s">
        <v>50</v>
      </c>
      <c r="B159" t="s">
        <v>27</v>
      </c>
      <c r="C159" t="s">
        <v>28</v>
      </c>
      <c r="D159" t="s">
        <v>49</v>
      </c>
      <c r="E159">
        <v>25</v>
      </c>
      <c r="F159">
        <v>40</v>
      </c>
      <c r="G159" t="s">
        <v>69</v>
      </c>
      <c r="H159" t="s">
        <v>40</v>
      </c>
      <c r="I159" s="24">
        <v>46032</v>
      </c>
      <c r="J159" t="s">
        <v>118</v>
      </c>
      <c r="K159" t="s">
        <v>117</v>
      </c>
      <c r="L159" t="s">
        <v>118</v>
      </c>
      <c r="M159">
        <v>5</v>
      </c>
      <c r="N159">
        <v>187.5</v>
      </c>
      <c r="O159">
        <v>5.7142857142857144</v>
      </c>
      <c r="P159">
        <v>1</v>
      </c>
    </row>
    <row r="160" spans="1:16" x14ac:dyDescent="0.45">
      <c r="A160" t="s">
        <v>51</v>
      </c>
      <c r="B160" t="s">
        <v>27</v>
      </c>
      <c r="C160" t="s">
        <v>28</v>
      </c>
      <c r="D160" t="s">
        <v>49</v>
      </c>
      <c r="E160">
        <v>25</v>
      </c>
      <c r="F160">
        <v>40</v>
      </c>
      <c r="G160" t="s">
        <v>69</v>
      </c>
      <c r="H160" t="s">
        <v>35</v>
      </c>
      <c r="I160" s="24">
        <v>46032</v>
      </c>
      <c r="J160" t="s">
        <v>118</v>
      </c>
      <c r="K160" t="s">
        <v>117</v>
      </c>
      <c r="L160" t="s">
        <v>118</v>
      </c>
      <c r="M160">
        <v>7</v>
      </c>
      <c r="N160">
        <v>262.5</v>
      </c>
      <c r="O160">
        <v>5.7142857142857144</v>
      </c>
      <c r="P160">
        <v>1</v>
      </c>
    </row>
    <row r="161" spans="1:16" x14ac:dyDescent="0.45">
      <c r="A161" t="s">
        <v>52</v>
      </c>
      <c r="B161" t="s">
        <v>26</v>
      </c>
      <c r="C161" t="s">
        <v>26</v>
      </c>
      <c r="D161" t="s">
        <v>49</v>
      </c>
      <c r="E161">
        <v>35</v>
      </c>
      <c r="F161">
        <v>40</v>
      </c>
      <c r="G161" t="s">
        <v>69</v>
      </c>
      <c r="H161" t="s">
        <v>41</v>
      </c>
      <c r="I161" s="24">
        <v>46032</v>
      </c>
      <c r="J161" t="s">
        <v>118</v>
      </c>
      <c r="K161" t="s">
        <v>117</v>
      </c>
      <c r="L161" t="s">
        <v>118</v>
      </c>
      <c r="M161">
        <v>0</v>
      </c>
      <c r="N161">
        <v>0</v>
      </c>
      <c r="O161">
        <v>5.7142857142857144</v>
      </c>
      <c r="P161">
        <v>0</v>
      </c>
    </row>
    <row r="162" spans="1:16" x14ac:dyDescent="0.45">
      <c r="A162" t="s">
        <v>53</v>
      </c>
      <c r="B162" t="s">
        <v>26</v>
      </c>
      <c r="C162" t="s">
        <v>26</v>
      </c>
      <c r="D162" t="s">
        <v>49</v>
      </c>
      <c r="E162">
        <v>35</v>
      </c>
      <c r="F162">
        <v>40</v>
      </c>
      <c r="G162" t="s">
        <v>69</v>
      </c>
      <c r="H162" t="s">
        <v>42</v>
      </c>
      <c r="I162" s="24">
        <v>46032</v>
      </c>
      <c r="J162" t="s">
        <v>118</v>
      </c>
      <c r="K162" t="s">
        <v>117</v>
      </c>
      <c r="L162" t="s">
        <v>118</v>
      </c>
      <c r="M162">
        <v>7.9999999999999982</v>
      </c>
      <c r="N162">
        <v>419.99999999999989</v>
      </c>
      <c r="O162">
        <v>5.7142857142857144</v>
      </c>
      <c r="P162">
        <v>1</v>
      </c>
    </row>
    <row r="163" spans="1:16" x14ac:dyDescent="0.45">
      <c r="A163" t="s">
        <v>54</v>
      </c>
      <c r="B163" t="s">
        <v>25</v>
      </c>
      <c r="C163" t="s">
        <v>26</v>
      </c>
      <c r="D163" t="s">
        <v>49</v>
      </c>
      <c r="E163">
        <v>28</v>
      </c>
      <c r="F163">
        <v>40</v>
      </c>
      <c r="G163" t="s">
        <v>69</v>
      </c>
      <c r="H163" t="s">
        <v>44</v>
      </c>
      <c r="I163" s="24">
        <v>46032</v>
      </c>
      <c r="J163" t="s">
        <v>118</v>
      </c>
      <c r="K163" t="s">
        <v>117</v>
      </c>
      <c r="L163" t="s">
        <v>118</v>
      </c>
      <c r="M163">
        <v>8</v>
      </c>
      <c r="N163">
        <v>336</v>
      </c>
      <c r="O163">
        <v>5.7142857142857144</v>
      </c>
      <c r="P163">
        <v>1</v>
      </c>
    </row>
    <row r="164" spans="1:16" x14ac:dyDescent="0.45">
      <c r="A164" t="s">
        <v>55</v>
      </c>
      <c r="B164" t="s">
        <v>25</v>
      </c>
      <c r="C164" t="s">
        <v>26</v>
      </c>
      <c r="D164" t="s">
        <v>49</v>
      </c>
      <c r="E164">
        <v>28</v>
      </c>
      <c r="F164">
        <v>40</v>
      </c>
      <c r="G164" t="s">
        <v>69</v>
      </c>
      <c r="H164" t="s">
        <v>41</v>
      </c>
      <c r="I164" s="24">
        <v>46032</v>
      </c>
      <c r="J164" t="s">
        <v>118</v>
      </c>
      <c r="K164" t="s">
        <v>117</v>
      </c>
      <c r="L164" t="s">
        <v>118</v>
      </c>
      <c r="M164">
        <v>0</v>
      </c>
      <c r="N164">
        <v>0</v>
      </c>
      <c r="O164">
        <v>5.7142857142857144</v>
      </c>
      <c r="P164">
        <v>0</v>
      </c>
    </row>
    <row r="165" spans="1:16" x14ac:dyDescent="0.45">
      <c r="A165" t="s">
        <v>56</v>
      </c>
      <c r="B165" t="s">
        <v>29</v>
      </c>
      <c r="C165" t="s">
        <v>29</v>
      </c>
      <c r="D165" t="s">
        <v>49</v>
      </c>
      <c r="E165">
        <v>20</v>
      </c>
      <c r="F165">
        <v>40</v>
      </c>
      <c r="G165" t="s">
        <v>69</v>
      </c>
      <c r="H165" t="s">
        <v>45</v>
      </c>
      <c r="I165" s="24">
        <v>46032</v>
      </c>
      <c r="J165" t="s">
        <v>118</v>
      </c>
      <c r="K165" t="s">
        <v>117</v>
      </c>
      <c r="L165" t="s">
        <v>118</v>
      </c>
      <c r="M165">
        <v>7.9999999999999982</v>
      </c>
      <c r="N165">
        <v>239.99999999999994</v>
      </c>
      <c r="O165">
        <v>5.7142857142857144</v>
      </c>
      <c r="P165">
        <v>1</v>
      </c>
    </row>
    <row r="166" spans="1:16" x14ac:dyDescent="0.45">
      <c r="A166" t="s">
        <v>57</v>
      </c>
      <c r="B166" t="s">
        <v>29</v>
      </c>
      <c r="C166" t="s">
        <v>29</v>
      </c>
      <c r="D166" t="s">
        <v>49</v>
      </c>
      <c r="E166">
        <v>20</v>
      </c>
      <c r="F166">
        <v>40</v>
      </c>
      <c r="G166" t="s">
        <v>69</v>
      </c>
      <c r="H166" t="s">
        <v>41</v>
      </c>
      <c r="I166" s="24">
        <v>46032</v>
      </c>
      <c r="J166" t="s">
        <v>118</v>
      </c>
      <c r="K166" t="s">
        <v>117</v>
      </c>
      <c r="L166" t="s">
        <v>118</v>
      </c>
      <c r="M166">
        <v>0</v>
      </c>
      <c r="N166">
        <v>0</v>
      </c>
      <c r="O166">
        <v>5.7142857142857144</v>
      </c>
      <c r="P166">
        <v>0</v>
      </c>
    </row>
    <row r="167" spans="1:16" x14ac:dyDescent="0.45">
      <c r="A167" t="s">
        <v>58</v>
      </c>
      <c r="B167" t="s">
        <v>29</v>
      </c>
      <c r="C167" t="s">
        <v>29</v>
      </c>
      <c r="D167" t="s">
        <v>49</v>
      </c>
      <c r="E167">
        <v>20</v>
      </c>
      <c r="F167">
        <v>40</v>
      </c>
      <c r="G167" t="s">
        <v>69</v>
      </c>
      <c r="H167" t="s">
        <v>44</v>
      </c>
      <c r="I167" s="24">
        <v>46032</v>
      </c>
      <c r="J167" t="s">
        <v>118</v>
      </c>
      <c r="K167" t="s">
        <v>117</v>
      </c>
      <c r="L167" t="s">
        <v>118</v>
      </c>
      <c r="M167">
        <v>8</v>
      </c>
      <c r="N167">
        <v>240</v>
      </c>
      <c r="O167">
        <v>5.7142857142857144</v>
      </c>
      <c r="P167">
        <v>1</v>
      </c>
    </row>
    <row r="168" spans="1:16" x14ac:dyDescent="0.45">
      <c r="A168" t="s">
        <v>59</v>
      </c>
      <c r="B168" t="s">
        <v>29</v>
      </c>
      <c r="C168" t="s">
        <v>29</v>
      </c>
      <c r="D168" t="s">
        <v>60</v>
      </c>
      <c r="E168">
        <v>15</v>
      </c>
      <c r="F168">
        <v>20</v>
      </c>
      <c r="G168" t="s">
        <v>69</v>
      </c>
      <c r="H168" t="s">
        <v>41</v>
      </c>
      <c r="I168" s="24">
        <v>46032</v>
      </c>
      <c r="J168" t="s">
        <v>118</v>
      </c>
      <c r="K168" t="s">
        <v>117</v>
      </c>
      <c r="L168" t="s">
        <v>118</v>
      </c>
      <c r="M168">
        <v>0</v>
      </c>
      <c r="N168">
        <v>0</v>
      </c>
      <c r="O168">
        <v>2.8571428571428572</v>
      </c>
      <c r="P168">
        <v>0</v>
      </c>
    </row>
    <row r="169" spans="1:16" x14ac:dyDescent="0.45">
      <c r="A169" t="s">
        <v>61</v>
      </c>
      <c r="B169" t="s">
        <v>29</v>
      </c>
      <c r="C169" t="s">
        <v>29</v>
      </c>
      <c r="D169" t="s">
        <v>60</v>
      </c>
      <c r="E169">
        <v>15</v>
      </c>
      <c r="F169">
        <v>20</v>
      </c>
      <c r="G169" t="s">
        <v>69</v>
      </c>
      <c r="H169" t="s">
        <v>41</v>
      </c>
      <c r="I169" s="24">
        <v>46032</v>
      </c>
      <c r="J169" t="s">
        <v>118</v>
      </c>
      <c r="K169" t="s">
        <v>117</v>
      </c>
      <c r="L169" t="s">
        <v>118</v>
      </c>
      <c r="M169">
        <v>0</v>
      </c>
      <c r="N169">
        <v>0</v>
      </c>
      <c r="O169">
        <v>2.8571428571428572</v>
      </c>
      <c r="P169">
        <v>0</v>
      </c>
    </row>
    <row r="170" spans="1:16" x14ac:dyDescent="0.45">
      <c r="A170" t="s">
        <v>62</v>
      </c>
      <c r="B170" t="s">
        <v>29</v>
      </c>
      <c r="C170" t="s">
        <v>29</v>
      </c>
      <c r="D170" t="s">
        <v>60</v>
      </c>
      <c r="E170">
        <v>15</v>
      </c>
      <c r="F170">
        <v>20</v>
      </c>
      <c r="G170" t="s">
        <v>69</v>
      </c>
      <c r="H170" t="s">
        <v>40</v>
      </c>
      <c r="I170" s="24">
        <v>46032</v>
      </c>
      <c r="J170" t="s">
        <v>118</v>
      </c>
      <c r="K170" t="s">
        <v>117</v>
      </c>
      <c r="L170" t="s">
        <v>118</v>
      </c>
      <c r="M170">
        <v>5</v>
      </c>
      <c r="N170">
        <v>112.5</v>
      </c>
      <c r="O170">
        <v>2.8571428571428572</v>
      </c>
      <c r="P170">
        <v>1</v>
      </c>
    </row>
    <row r="171" spans="1:16" x14ac:dyDescent="0.45">
      <c r="A171" t="s">
        <v>48</v>
      </c>
      <c r="B171" t="s">
        <v>30</v>
      </c>
      <c r="C171" t="s">
        <v>28</v>
      </c>
      <c r="D171" t="s">
        <v>49</v>
      </c>
      <c r="E171">
        <v>30</v>
      </c>
      <c r="F171">
        <v>40</v>
      </c>
      <c r="G171" t="s">
        <v>70</v>
      </c>
      <c r="H171" t="s">
        <v>41</v>
      </c>
      <c r="I171" s="24">
        <v>46033</v>
      </c>
      <c r="J171" t="s">
        <v>118</v>
      </c>
      <c r="K171" t="s">
        <v>117</v>
      </c>
      <c r="L171" t="s">
        <v>118</v>
      </c>
      <c r="M171">
        <v>0</v>
      </c>
      <c r="N171">
        <v>0</v>
      </c>
      <c r="O171">
        <v>5.7142857142857144</v>
      </c>
      <c r="P171">
        <v>0</v>
      </c>
    </row>
    <row r="172" spans="1:16" x14ac:dyDescent="0.45">
      <c r="A172" t="s">
        <v>50</v>
      </c>
      <c r="B172" t="s">
        <v>27</v>
      </c>
      <c r="C172" t="s">
        <v>28</v>
      </c>
      <c r="D172" t="s">
        <v>49</v>
      </c>
      <c r="E172">
        <v>25</v>
      </c>
      <c r="F172">
        <v>40</v>
      </c>
      <c r="G172" t="s">
        <v>70</v>
      </c>
      <c r="H172" t="s">
        <v>37</v>
      </c>
      <c r="I172" s="24">
        <v>46033</v>
      </c>
      <c r="J172" t="s">
        <v>118</v>
      </c>
      <c r="K172" t="s">
        <v>117</v>
      </c>
      <c r="L172" t="s">
        <v>118</v>
      </c>
      <c r="M172">
        <v>7</v>
      </c>
      <c r="N172">
        <v>262.5</v>
      </c>
      <c r="O172">
        <v>5.7142857142857144</v>
      </c>
      <c r="P172">
        <v>1</v>
      </c>
    </row>
    <row r="173" spans="1:16" x14ac:dyDescent="0.45">
      <c r="A173" t="s">
        <v>51</v>
      </c>
      <c r="B173" t="s">
        <v>27</v>
      </c>
      <c r="C173" t="s">
        <v>28</v>
      </c>
      <c r="D173" t="s">
        <v>49</v>
      </c>
      <c r="E173">
        <v>25</v>
      </c>
      <c r="F173">
        <v>40</v>
      </c>
      <c r="G173" t="s">
        <v>70</v>
      </c>
      <c r="H173" t="s">
        <v>35</v>
      </c>
      <c r="I173" s="24">
        <v>46033</v>
      </c>
      <c r="J173" t="s">
        <v>118</v>
      </c>
      <c r="K173" t="s">
        <v>117</v>
      </c>
      <c r="L173" t="s">
        <v>118</v>
      </c>
      <c r="M173">
        <v>7</v>
      </c>
      <c r="N173">
        <v>262.5</v>
      </c>
      <c r="O173">
        <v>5.7142857142857144</v>
      </c>
      <c r="P173">
        <v>1</v>
      </c>
    </row>
    <row r="174" spans="1:16" x14ac:dyDescent="0.45">
      <c r="A174" t="s">
        <v>52</v>
      </c>
      <c r="B174" t="s">
        <v>26</v>
      </c>
      <c r="C174" t="s">
        <v>26</v>
      </c>
      <c r="D174" t="s">
        <v>49</v>
      </c>
      <c r="E174">
        <v>35</v>
      </c>
      <c r="F174">
        <v>40</v>
      </c>
      <c r="G174" t="s">
        <v>70</v>
      </c>
      <c r="H174" t="s">
        <v>41</v>
      </c>
      <c r="I174" s="24">
        <v>46033</v>
      </c>
      <c r="J174" t="s">
        <v>118</v>
      </c>
      <c r="K174" t="s">
        <v>117</v>
      </c>
      <c r="L174" t="s">
        <v>118</v>
      </c>
      <c r="M174">
        <v>0</v>
      </c>
      <c r="N174">
        <v>0</v>
      </c>
      <c r="O174">
        <v>5.7142857142857144</v>
      </c>
      <c r="P174">
        <v>0</v>
      </c>
    </row>
    <row r="175" spans="1:16" x14ac:dyDescent="0.45">
      <c r="A175" t="s">
        <v>53</v>
      </c>
      <c r="B175" t="s">
        <v>26</v>
      </c>
      <c r="C175" t="s">
        <v>26</v>
      </c>
      <c r="D175" t="s">
        <v>49</v>
      </c>
      <c r="E175">
        <v>35</v>
      </c>
      <c r="F175">
        <v>40</v>
      </c>
      <c r="G175" t="s">
        <v>70</v>
      </c>
      <c r="H175" t="s">
        <v>42</v>
      </c>
      <c r="I175" s="24">
        <v>46033</v>
      </c>
      <c r="J175" t="s">
        <v>118</v>
      </c>
      <c r="K175" t="s">
        <v>117</v>
      </c>
      <c r="L175" t="s">
        <v>118</v>
      </c>
      <c r="M175">
        <v>7.9999999999999982</v>
      </c>
      <c r="N175">
        <v>419.99999999999989</v>
      </c>
      <c r="O175">
        <v>5.7142857142857144</v>
      </c>
      <c r="P175">
        <v>1</v>
      </c>
    </row>
    <row r="176" spans="1:16" x14ac:dyDescent="0.45">
      <c r="A176" t="s">
        <v>54</v>
      </c>
      <c r="B176" t="s">
        <v>25</v>
      </c>
      <c r="C176" t="s">
        <v>26</v>
      </c>
      <c r="D176" t="s">
        <v>49</v>
      </c>
      <c r="E176">
        <v>28</v>
      </c>
      <c r="F176">
        <v>40</v>
      </c>
      <c r="G176" t="s">
        <v>70</v>
      </c>
      <c r="H176" t="s">
        <v>44</v>
      </c>
      <c r="I176" s="24">
        <v>46033</v>
      </c>
      <c r="J176" t="s">
        <v>118</v>
      </c>
      <c r="K176" t="s">
        <v>117</v>
      </c>
      <c r="L176" t="s">
        <v>118</v>
      </c>
      <c r="M176">
        <v>8</v>
      </c>
      <c r="N176">
        <v>336</v>
      </c>
      <c r="O176">
        <v>5.7142857142857144</v>
      </c>
      <c r="P176">
        <v>1</v>
      </c>
    </row>
    <row r="177" spans="1:16" x14ac:dyDescent="0.45">
      <c r="A177" t="s">
        <v>55</v>
      </c>
      <c r="B177" t="s">
        <v>25</v>
      </c>
      <c r="C177" t="s">
        <v>26</v>
      </c>
      <c r="D177" t="s">
        <v>49</v>
      </c>
      <c r="E177">
        <v>28</v>
      </c>
      <c r="F177">
        <v>40</v>
      </c>
      <c r="G177" t="s">
        <v>70</v>
      </c>
      <c r="H177" t="s">
        <v>41</v>
      </c>
      <c r="I177" s="24">
        <v>46033</v>
      </c>
      <c r="J177" t="s">
        <v>118</v>
      </c>
      <c r="K177" t="s">
        <v>117</v>
      </c>
      <c r="L177" t="s">
        <v>118</v>
      </c>
      <c r="M177">
        <v>0</v>
      </c>
      <c r="N177">
        <v>0</v>
      </c>
      <c r="O177">
        <v>5.7142857142857144</v>
      </c>
      <c r="P177">
        <v>0</v>
      </c>
    </row>
    <row r="178" spans="1:16" x14ac:dyDescent="0.45">
      <c r="A178" t="s">
        <v>56</v>
      </c>
      <c r="B178" t="s">
        <v>29</v>
      </c>
      <c r="C178" t="s">
        <v>29</v>
      </c>
      <c r="D178" t="s">
        <v>49</v>
      </c>
      <c r="E178">
        <v>20</v>
      </c>
      <c r="F178">
        <v>40</v>
      </c>
      <c r="G178" t="s">
        <v>70</v>
      </c>
      <c r="H178" t="s">
        <v>45</v>
      </c>
      <c r="I178" s="24">
        <v>46033</v>
      </c>
      <c r="J178" t="s">
        <v>118</v>
      </c>
      <c r="K178" t="s">
        <v>117</v>
      </c>
      <c r="L178" t="s">
        <v>118</v>
      </c>
      <c r="M178">
        <v>7.9999999999999982</v>
      </c>
      <c r="N178">
        <v>239.99999999999994</v>
      </c>
      <c r="O178">
        <v>5.7142857142857144</v>
      </c>
      <c r="P178">
        <v>1</v>
      </c>
    </row>
    <row r="179" spans="1:16" x14ac:dyDescent="0.45">
      <c r="A179" t="s">
        <v>57</v>
      </c>
      <c r="B179" t="s">
        <v>29</v>
      </c>
      <c r="C179" t="s">
        <v>29</v>
      </c>
      <c r="D179" t="s">
        <v>49</v>
      </c>
      <c r="E179">
        <v>20</v>
      </c>
      <c r="F179">
        <v>40</v>
      </c>
      <c r="G179" t="s">
        <v>70</v>
      </c>
      <c r="H179" t="s">
        <v>41</v>
      </c>
      <c r="I179" s="24">
        <v>46033</v>
      </c>
      <c r="J179" t="s">
        <v>118</v>
      </c>
      <c r="K179" t="s">
        <v>117</v>
      </c>
      <c r="L179" t="s">
        <v>118</v>
      </c>
      <c r="M179">
        <v>0</v>
      </c>
      <c r="N179">
        <v>0</v>
      </c>
      <c r="O179">
        <v>5.7142857142857144</v>
      </c>
      <c r="P179">
        <v>0</v>
      </c>
    </row>
    <row r="180" spans="1:16" x14ac:dyDescent="0.45">
      <c r="A180" t="s">
        <v>58</v>
      </c>
      <c r="B180" t="s">
        <v>29</v>
      </c>
      <c r="C180" t="s">
        <v>29</v>
      </c>
      <c r="D180" t="s">
        <v>49</v>
      </c>
      <c r="E180">
        <v>20</v>
      </c>
      <c r="F180">
        <v>40</v>
      </c>
      <c r="G180" t="s">
        <v>70</v>
      </c>
      <c r="H180" t="s">
        <v>44</v>
      </c>
      <c r="I180" s="24">
        <v>46033</v>
      </c>
      <c r="J180" t="s">
        <v>118</v>
      </c>
      <c r="K180" t="s">
        <v>117</v>
      </c>
      <c r="L180" t="s">
        <v>118</v>
      </c>
      <c r="M180">
        <v>8</v>
      </c>
      <c r="N180">
        <v>240</v>
      </c>
      <c r="O180">
        <v>5.7142857142857144</v>
      </c>
      <c r="P180">
        <v>1</v>
      </c>
    </row>
    <row r="181" spans="1:16" x14ac:dyDescent="0.45">
      <c r="A181" t="s">
        <v>59</v>
      </c>
      <c r="B181" t="s">
        <v>29</v>
      </c>
      <c r="C181" t="s">
        <v>29</v>
      </c>
      <c r="D181" t="s">
        <v>60</v>
      </c>
      <c r="E181">
        <v>15</v>
      </c>
      <c r="F181">
        <v>20</v>
      </c>
      <c r="G181" t="s">
        <v>70</v>
      </c>
      <c r="H181" t="s">
        <v>41</v>
      </c>
      <c r="I181" s="24">
        <v>46033</v>
      </c>
      <c r="J181" t="s">
        <v>118</v>
      </c>
      <c r="K181" t="s">
        <v>117</v>
      </c>
      <c r="L181" t="s">
        <v>118</v>
      </c>
      <c r="M181">
        <v>0</v>
      </c>
      <c r="N181">
        <v>0</v>
      </c>
      <c r="O181">
        <v>2.8571428571428572</v>
      </c>
      <c r="P181">
        <v>0</v>
      </c>
    </row>
    <row r="182" spans="1:16" x14ac:dyDescent="0.45">
      <c r="A182" t="s">
        <v>61</v>
      </c>
      <c r="B182" t="s">
        <v>29</v>
      </c>
      <c r="C182" t="s">
        <v>29</v>
      </c>
      <c r="D182" t="s">
        <v>60</v>
      </c>
      <c r="E182">
        <v>15</v>
      </c>
      <c r="F182">
        <v>20</v>
      </c>
      <c r="G182" t="s">
        <v>70</v>
      </c>
      <c r="H182" t="s">
        <v>41</v>
      </c>
      <c r="I182" s="24">
        <v>46033</v>
      </c>
      <c r="J182" t="s">
        <v>118</v>
      </c>
      <c r="K182" t="s">
        <v>117</v>
      </c>
      <c r="L182" t="s">
        <v>118</v>
      </c>
      <c r="M182">
        <v>0</v>
      </c>
      <c r="N182">
        <v>0</v>
      </c>
      <c r="O182">
        <v>2.8571428571428572</v>
      </c>
      <c r="P182">
        <v>0</v>
      </c>
    </row>
    <row r="183" spans="1:16" x14ac:dyDescent="0.45">
      <c r="A183" t="s">
        <v>62</v>
      </c>
      <c r="B183" t="s">
        <v>29</v>
      </c>
      <c r="C183" t="s">
        <v>29</v>
      </c>
      <c r="D183" t="s">
        <v>60</v>
      </c>
      <c r="E183">
        <v>15</v>
      </c>
      <c r="F183">
        <v>20</v>
      </c>
      <c r="G183" t="s">
        <v>70</v>
      </c>
      <c r="H183" t="s">
        <v>46</v>
      </c>
      <c r="I183" s="24">
        <v>46033</v>
      </c>
      <c r="J183" t="s">
        <v>118</v>
      </c>
      <c r="K183" t="s">
        <v>117</v>
      </c>
      <c r="L183" t="s">
        <v>118</v>
      </c>
      <c r="M183">
        <v>4.9999999999999982</v>
      </c>
      <c r="N183">
        <v>112.49999999999996</v>
      </c>
      <c r="O183">
        <v>2.8571428571428572</v>
      </c>
      <c r="P183">
        <v>1</v>
      </c>
    </row>
    <row r="184" spans="1:16" x14ac:dyDescent="0.45">
      <c r="A184" t="s">
        <v>48</v>
      </c>
      <c r="B184" t="s">
        <v>30</v>
      </c>
      <c r="C184" t="s">
        <v>28</v>
      </c>
      <c r="D184" t="s">
        <v>49</v>
      </c>
      <c r="E184">
        <v>30</v>
      </c>
      <c r="F184">
        <v>40</v>
      </c>
      <c r="G184" t="s">
        <v>64</v>
      </c>
      <c r="H184" t="s">
        <v>35</v>
      </c>
      <c r="I184" s="24">
        <v>46034</v>
      </c>
      <c r="J184" t="s">
        <v>117</v>
      </c>
      <c r="K184" t="s">
        <v>117</v>
      </c>
      <c r="L184" t="s">
        <v>117</v>
      </c>
      <c r="M184">
        <v>7</v>
      </c>
      <c r="N184">
        <v>210</v>
      </c>
      <c r="O184">
        <v>5.7142857142857144</v>
      </c>
      <c r="P184">
        <v>0</v>
      </c>
    </row>
    <row r="185" spans="1:16" x14ac:dyDescent="0.45">
      <c r="A185" t="s">
        <v>50</v>
      </c>
      <c r="B185" t="s">
        <v>27</v>
      </c>
      <c r="C185" t="s">
        <v>28</v>
      </c>
      <c r="D185" t="s">
        <v>49</v>
      </c>
      <c r="E185">
        <v>25</v>
      </c>
      <c r="F185">
        <v>40</v>
      </c>
      <c r="G185" t="s">
        <v>64</v>
      </c>
      <c r="H185" t="s">
        <v>37</v>
      </c>
      <c r="I185" s="24">
        <v>46034</v>
      </c>
      <c r="J185" t="s">
        <v>117</v>
      </c>
      <c r="K185" t="s">
        <v>117</v>
      </c>
      <c r="L185" t="s">
        <v>117</v>
      </c>
      <c r="M185">
        <v>7</v>
      </c>
      <c r="N185">
        <v>175</v>
      </c>
      <c r="O185">
        <v>5.7142857142857144</v>
      </c>
      <c r="P185">
        <v>0</v>
      </c>
    </row>
    <row r="186" spans="1:16" x14ac:dyDescent="0.45">
      <c r="A186" t="s">
        <v>51</v>
      </c>
      <c r="B186" t="s">
        <v>27</v>
      </c>
      <c r="C186" t="s">
        <v>28</v>
      </c>
      <c r="D186" t="s">
        <v>49</v>
      </c>
      <c r="E186">
        <v>25</v>
      </c>
      <c r="F186">
        <v>40</v>
      </c>
      <c r="G186" t="s">
        <v>64</v>
      </c>
      <c r="H186" t="s">
        <v>41</v>
      </c>
      <c r="I186" s="24">
        <v>46034</v>
      </c>
      <c r="J186" t="s">
        <v>117</v>
      </c>
      <c r="K186" t="s">
        <v>117</v>
      </c>
      <c r="L186" t="s">
        <v>117</v>
      </c>
      <c r="M186">
        <v>0</v>
      </c>
      <c r="N186">
        <v>0</v>
      </c>
      <c r="O186">
        <v>5.7142857142857144</v>
      </c>
      <c r="P186">
        <v>0</v>
      </c>
    </row>
    <row r="187" spans="1:16" x14ac:dyDescent="0.45">
      <c r="A187" t="s">
        <v>52</v>
      </c>
      <c r="B187" t="s">
        <v>26</v>
      </c>
      <c r="C187" t="s">
        <v>26</v>
      </c>
      <c r="D187" t="s">
        <v>49</v>
      </c>
      <c r="E187">
        <v>35</v>
      </c>
      <c r="F187">
        <v>40</v>
      </c>
      <c r="G187" t="s">
        <v>64</v>
      </c>
      <c r="H187" t="s">
        <v>42</v>
      </c>
      <c r="I187" s="24">
        <v>46034</v>
      </c>
      <c r="J187" t="s">
        <v>117</v>
      </c>
      <c r="K187" t="s">
        <v>117</v>
      </c>
      <c r="L187" t="s">
        <v>117</v>
      </c>
      <c r="M187">
        <v>7.9999999999999982</v>
      </c>
      <c r="N187">
        <v>279.99999999999994</v>
      </c>
      <c r="O187">
        <v>5.7142857142857144</v>
      </c>
      <c r="P187">
        <v>0</v>
      </c>
    </row>
    <row r="188" spans="1:16" x14ac:dyDescent="0.45">
      <c r="A188" t="s">
        <v>53</v>
      </c>
      <c r="B188" t="s">
        <v>26</v>
      </c>
      <c r="C188" t="s">
        <v>26</v>
      </c>
      <c r="D188" t="s">
        <v>49</v>
      </c>
      <c r="E188">
        <v>35</v>
      </c>
      <c r="F188">
        <v>40</v>
      </c>
      <c r="G188" t="s">
        <v>64</v>
      </c>
      <c r="H188" t="s">
        <v>44</v>
      </c>
      <c r="I188" s="24">
        <v>46034</v>
      </c>
      <c r="J188" t="s">
        <v>117</v>
      </c>
      <c r="K188" t="s">
        <v>117</v>
      </c>
      <c r="L188" t="s">
        <v>117</v>
      </c>
      <c r="M188">
        <v>8</v>
      </c>
      <c r="N188">
        <v>280</v>
      </c>
      <c r="O188">
        <v>5.7142857142857144</v>
      </c>
      <c r="P188">
        <v>0</v>
      </c>
    </row>
    <row r="189" spans="1:16" x14ac:dyDescent="0.45">
      <c r="A189" t="s">
        <v>54</v>
      </c>
      <c r="B189" t="s">
        <v>25</v>
      </c>
      <c r="C189" t="s">
        <v>26</v>
      </c>
      <c r="D189" t="s">
        <v>49</v>
      </c>
      <c r="E189">
        <v>28</v>
      </c>
      <c r="F189">
        <v>40</v>
      </c>
      <c r="G189" t="s">
        <v>64</v>
      </c>
      <c r="H189" t="s">
        <v>41</v>
      </c>
      <c r="I189" s="24">
        <v>46034</v>
      </c>
      <c r="J189" t="s">
        <v>117</v>
      </c>
      <c r="K189" t="s">
        <v>117</v>
      </c>
      <c r="L189" t="s">
        <v>117</v>
      </c>
      <c r="M189">
        <v>0</v>
      </c>
      <c r="N189">
        <v>0</v>
      </c>
      <c r="O189">
        <v>5.7142857142857144</v>
      </c>
      <c r="P189">
        <v>0</v>
      </c>
    </row>
    <row r="190" spans="1:16" x14ac:dyDescent="0.45">
      <c r="A190" t="s">
        <v>55</v>
      </c>
      <c r="B190" t="s">
        <v>25</v>
      </c>
      <c r="C190" t="s">
        <v>26</v>
      </c>
      <c r="D190" t="s">
        <v>49</v>
      </c>
      <c r="E190">
        <v>28</v>
      </c>
      <c r="F190">
        <v>40</v>
      </c>
      <c r="G190" t="s">
        <v>64</v>
      </c>
      <c r="H190" t="s">
        <v>44</v>
      </c>
      <c r="I190" s="24">
        <v>46034</v>
      </c>
      <c r="J190" t="s">
        <v>117</v>
      </c>
      <c r="K190" t="s">
        <v>117</v>
      </c>
      <c r="L190" t="s">
        <v>117</v>
      </c>
      <c r="M190">
        <v>8</v>
      </c>
      <c r="N190">
        <v>224</v>
      </c>
      <c r="O190">
        <v>5.7142857142857144</v>
      </c>
      <c r="P190">
        <v>0</v>
      </c>
    </row>
    <row r="191" spans="1:16" x14ac:dyDescent="0.45">
      <c r="A191" t="s">
        <v>56</v>
      </c>
      <c r="B191" t="s">
        <v>29</v>
      </c>
      <c r="C191" t="s">
        <v>29</v>
      </c>
      <c r="D191" t="s">
        <v>49</v>
      </c>
      <c r="E191">
        <v>20</v>
      </c>
      <c r="F191">
        <v>40</v>
      </c>
      <c r="G191" t="s">
        <v>64</v>
      </c>
      <c r="H191" t="s">
        <v>45</v>
      </c>
      <c r="I191" s="24">
        <v>46034</v>
      </c>
      <c r="J191" t="s">
        <v>117</v>
      </c>
      <c r="K191" t="s">
        <v>117</v>
      </c>
      <c r="L191" t="s">
        <v>117</v>
      </c>
      <c r="M191">
        <v>7.9999999999999982</v>
      </c>
      <c r="N191">
        <v>159.99999999999997</v>
      </c>
      <c r="O191">
        <v>5.7142857142857144</v>
      </c>
      <c r="P191">
        <v>0</v>
      </c>
    </row>
    <row r="192" spans="1:16" x14ac:dyDescent="0.45">
      <c r="A192" t="s">
        <v>57</v>
      </c>
      <c r="B192" t="s">
        <v>29</v>
      </c>
      <c r="C192" t="s">
        <v>29</v>
      </c>
      <c r="D192" t="s">
        <v>49</v>
      </c>
      <c r="E192">
        <v>20</v>
      </c>
      <c r="F192">
        <v>40</v>
      </c>
      <c r="G192" t="s">
        <v>64</v>
      </c>
      <c r="H192" t="s">
        <v>44</v>
      </c>
      <c r="I192" s="24">
        <v>46034</v>
      </c>
      <c r="J192" t="s">
        <v>117</v>
      </c>
      <c r="K192" t="s">
        <v>117</v>
      </c>
      <c r="L192" t="s">
        <v>117</v>
      </c>
      <c r="M192">
        <v>8</v>
      </c>
      <c r="N192">
        <v>160</v>
      </c>
      <c r="O192">
        <v>5.7142857142857144</v>
      </c>
      <c r="P192">
        <v>0</v>
      </c>
    </row>
    <row r="193" spans="1:16" x14ac:dyDescent="0.45">
      <c r="A193" t="s">
        <v>58</v>
      </c>
      <c r="B193" t="s">
        <v>29</v>
      </c>
      <c r="C193" t="s">
        <v>29</v>
      </c>
      <c r="D193" t="s">
        <v>49</v>
      </c>
      <c r="E193">
        <v>20</v>
      </c>
      <c r="F193">
        <v>40</v>
      </c>
      <c r="G193" t="s">
        <v>64</v>
      </c>
      <c r="H193" t="s">
        <v>41</v>
      </c>
      <c r="I193" s="24">
        <v>46034</v>
      </c>
      <c r="J193" t="s">
        <v>117</v>
      </c>
      <c r="K193" t="s">
        <v>117</v>
      </c>
      <c r="L193" t="s">
        <v>117</v>
      </c>
      <c r="M193">
        <v>0</v>
      </c>
      <c r="N193">
        <v>0</v>
      </c>
      <c r="O193">
        <v>5.7142857142857144</v>
      </c>
      <c r="P193">
        <v>0</v>
      </c>
    </row>
    <row r="194" spans="1:16" x14ac:dyDescent="0.45">
      <c r="A194" t="s">
        <v>59</v>
      </c>
      <c r="B194" t="s">
        <v>29</v>
      </c>
      <c r="C194" t="s">
        <v>29</v>
      </c>
      <c r="D194" t="s">
        <v>60</v>
      </c>
      <c r="E194">
        <v>15</v>
      </c>
      <c r="F194">
        <v>20</v>
      </c>
      <c r="G194" t="s">
        <v>64</v>
      </c>
      <c r="H194" t="s">
        <v>41</v>
      </c>
      <c r="I194" s="24">
        <v>46034</v>
      </c>
      <c r="J194" t="s">
        <v>117</v>
      </c>
      <c r="K194" t="s">
        <v>117</v>
      </c>
      <c r="L194" t="s">
        <v>117</v>
      </c>
      <c r="M194">
        <v>0</v>
      </c>
      <c r="N194">
        <v>0</v>
      </c>
      <c r="O194">
        <v>2.8571428571428572</v>
      </c>
      <c r="P194">
        <v>0</v>
      </c>
    </row>
    <row r="195" spans="1:16" x14ac:dyDescent="0.45">
      <c r="A195" t="s">
        <v>61</v>
      </c>
      <c r="B195" t="s">
        <v>29</v>
      </c>
      <c r="C195" t="s">
        <v>29</v>
      </c>
      <c r="D195" t="s">
        <v>60</v>
      </c>
      <c r="E195">
        <v>15</v>
      </c>
      <c r="F195">
        <v>20</v>
      </c>
      <c r="G195" t="s">
        <v>64</v>
      </c>
      <c r="H195" t="s">
        <v>46</v>
      </c>
      <c r="I195" s="24">
        <v>46034</v>
      </c>
      <c r="J195" t="s">
        <v>117</v>
      </c>
      <c r="K195" t="s">
        <v>117</v>
      </c>
      <c r="L195" t="s">
        <v>117</v>
      </c>
      <c r="M195">
        <v>4.9999999999999982</v>
      </c>
      <c r="N195">
        <v>74.999999999999972</v>
      </c>
      <c r="O195">
        <v>2.8571428571428572</v>
      </c>
      <c r="P195">
        <v>0</v>
      </c>
    </row>
    <row r="196" spans="1:16" x14ac:dyDescent="0.45">
      <c r="A196" t="s">
        <v>62</v>
      </c>
      <c r="B196" t="s">
        <v>29</v>
      </c>
      <c r="C196" t="s">
        <v>29</v>
      </c>
      <c r="D196" t="s">
        <v>60</v>
      </c>
      <c r="E196">
        <v>15</v>
      </c>
      <c r="F196">
        <v>20</v>
      </c>
      <c r="G196" t="s">
        <v>64</v>
      </c>
      <c r="H196" t="s">
        <v>40</v>
      </c>
      <c r="I196" s="24">
        <v>46034</v>
      </c>
      <c r="J196" t="s">
        <v>117</v>
      </c>
      <c r="K196" t="s">
        <v>117</v>
      </c>
      <c r="L196" t="s">
        <v>117</v>
      </c>
      <c r="M196">
        <v>5</v>
      </c>
      <c r="N196">
        <v>75</v>
      </c>
      <c r="O196">
        <v>2.8571428571428572</v>
      </c>
      <c r="P196">
        <v>0</v>
      </c>
    </row>
    <row r="197" spans="1:16" x14ac:dyDescent="0.45">
      <c r="A197" t="s">
        <v>48</v>
      </c>
      <c r="B197" t="s">
        <v>30</v>
      </c>
      <c r="C197" t="s">
        <v>28</v>
      </c>
      <c r="D197" t="s">
        <v>49</v>
      </c>
      <c r="E197">
        <v>30</v>
      </c>
      <c r="F197">
        <v>40</v>
      </c>
      <c r="G197" t="s">
        <v>65</v>
      </c>
      <c r="H197" t="s">
        <v>35</v>
      </c>
      <c r="I197" s="24">
        <v>46035</v>
      </c>
      <c r="J197" t="s">
        <v>117</v>
      </c>
      <c r="K197" t="s">
        <v>117</v>
      </c>
      <c r="L197" t="s">
        <v>117</v>
      </c>
      <c r="M197">
        <v>7</v>
      </c>
      <c r="N197">
        <v>210</v>
      </c>
      <c r="O197">
        <v>5.7142857142857144</v>
      </c>
      <c r="P197">
        <v>0</v>
      </c>
    </row>
    <row r="198" spans="1:16" x14ac:dyDescent="0.45">
      <c r="A198" t="s">
        <v>50</v>
      </c>
      <c r="B198" t="s">
        <v>27</v>
      </c>
      <c r="C198" t="s">
        <v>28</v>
      </c>
      <c r="D198" t="s">
        <v>49</v>
      </c>
      <c r="E198">
        <v>25</v>
      </c>
      <c r="F198">
        <v>40</v>
      </c>
      <c r="G198" t="s">
        <v>65</v>
      </c>
      <c r="H198" t="s">
        <v>37</v>
      </c>
      <c r="I198" s="24">
        <v>46035</v>
      </c>
      <c r="J198" t="s">
        <v>117</v>
      </c>
      <c r="K198" t="s">
        <v>117</v>
      </c>
      <c r="L198" t="s">
        <v>117</v>
      </c>
      <c r="M198">
        <v>7</v>
      </c>
      <c r="N198">
        <v>175</v>
      </c>
      <c r="O198">
        <v>5.7142857142857144</v>
      </c>
      <c r="P198">
        <v>0</v>
      </c>
    </row>
    <row r="199" spans="1:16" x14ac:dyDescent="0.45">
      <c r="A199" t="s">
        <v>51</v>
      </c>
      <c r="B199" t="s">
        <v>27</v>
      </c>
      <c r="C199" t="s">
        <v>28</v>
      </c>
      <c r="D199" t="s">
        <v>49</v>
      </c>
      <c r="E199">
        <v>25</v>
      </c>
      <c r="F199">
        <v>40</v>
      </c>
      <c r="G199" t="s">
        <v>65</v>
      </c>
      <c r="H199" t="s">
        <v>41</v>
      </c>
      <c r="I199" s="24">
        <v>46035</v>
      </c>
      <c r="J199" t="s">
        <v>117</v>
      </c>
      <c r="K199" t="s">
        <v>117</v>
      </c>
      <c r="L199" t="s">
        <v>117</v>
      </c>
      <c r="M199">
        <v>0</v>
      </c>
      <c r="N199">
        <v>0</v>
      </c>
      <c r="O199">
        <v>5.7142857142857144</v>
      </c>
      <c r="P199">
        <v>0</v>
      </c>
    </row>
    <row r="200" spans="1:16" x14ac:dyDescent="0.45">
      <c r="A200" t="s">
        <v>52</v>
      </c>
      <c r="B200" t="s">
        <v>26</v>
      </c>
      <c r="C200" t="s">
        <v>26</v>
      </c>
      <c r="D200" t="s">
        <v>49</v>
      </c>
      <c r="E200">
        <v>35</v>
      </c>
      <c r="F200">
        <v>40</v>
      </c>
      <c r="G200" t="s">
        <v>65</v>
      </c>
      <c r="H200" t="s">
        <v>42</v>
      </c>
      <c r="I200" s="24">
        <v>46035</v>
      </c>
      <c r="J200" t="s">
        <v>117</v>
      </c>
      <c r="K200" t="s">
        <v>117</v>
      </c>
      <c r="L200" t="s">
        <v>117</v>
      </c>
      <c r="M200">
        <v>7.9999999999999982</v>
      </c>
      <c r="N200">
        <v>279.99999999999994</v>
      </c>
      <c r="O200">
        <v>5.7142857142857144</v>
      </c>
      <c r="P200">
        <v>0</v>
      </c>
    </row>
    <row r="201" spans="1:16" x14ac:dyDescent="0.45">
      <c r="A201" t="s">
        <v>53</v>
      </c>
      <c r="B201" t="s">
        <v>26</v>
      </c>
      <c r="C201" t="s">
        <v>26</v>
      </c>
      <c r="D201" t="s">
        <v>49</v>
      </c>
      <c r="E201">
        <v>35</v>
      </c>
      <c r="F201">
        <v>40</v>
      </c>
      <c r="G201" t="s">
        <v>65</v>
      </c>
      <c r="H201" t="s">
        <v>44</v>
      </c>
      <c r="I201" s="24">
        <v>46035</v>
      </c>
      <c r="J201" t="s">
        <v>117</v>
      </c>
      <c r="K201" t="s">
        <v>117</v>
      </c>
      <c r="L201" t="s">
        <v>117</v>
      </c>
      <c r="M201">
        <v>8</v>
      </c>
      <c r="N201">
        <v>280</v>
      </c>
      <c r="O201">
        <v>5.7142857142857144</v>
      </c>
      <c r="P201">
        <v>0</v>
      </c>
    </row>
    <row r="202" spans="1:16" x14ac:dyDescent="0.45">
      <c r="A202" t="s">
        <v>54</v>
      </c>
      <c r="B202" t="s">
        <v>25</v>
      </c>
      <c r="C202" t="s">
        <v>26</v>
      </c>
      <c r="D202" t="s">
        <v>49</v>
      </c>
      <c r="E202">
        <v>28</v>
      </c>
      <c r="F202">
        <v>40</v>
      </c>
      <c r="G202" t="s">
        <v>65</v>
      </c>
      <c r="H202" t="s">
        <v>41</v>
      </c>
      <c r="I202" s="24">
        <v>46035</v>
      </c>
      <c r="J202" t="s">
        <v>117</v>
      </c>
      <c r="K202" t="s">
        <v>117</v>
      </c>
      <c r="L202" t="s">
        <v>117</v>
      </c>
      <c r="M202">
        <v>0</v>
      </c>
      <c r="N202">
        <v>0</v>
      </c>
      <c r="O202">
        <v>5.7142857142857144</v>
      </c>
      <c r="P202">
        <v>0</v>
      </c>
    </row>
    <row r="203" spans="1:16" x14ac:dyDescent="0.45">
      <c r="A203" t="s">
        <v>55</v>
      </c>
      <c r="B203" t="s">
        <v>25</v>
      </c>
      <c r="C203" t="s">
        <v>26</v>
      </c>
      <c r="D203" t="s">
        <v>49</v>
      </c>
      <c r="E203">
        <v>28</v>
      </c>
      <c r="F203">
        <v>40</v>
      </c>
      <c r="G203" t="s">
        <v>65</v>
      </c>
      <c r="H203" t="s">
        <v>44</v>
      </c>
      <c r="I203" s="24">
        <v>46035</v>
      </c>
      <c r="J203" t="s">
        <v>117</v>
      </c>
      <c r="K203" t="s">
        <v>117</v>
      </c>
      <c r="L203" t="s">
        <v>117</v>
      </c>
      <c r="M203">
        <v>8</v>
      </c>
      <c r="N203">
        <v>224</v>
      </c>
      <c r="O203">
        <v>5.7142857142857144</v>
      </c>
      <c r="P203">
        <v>0</v>
      </c>
    </row>
    <row r="204" spans="1:16" x14ac:dyDescent="0.45">
      <c r="A204" t="s">
        <v>56</v>
      </c>
      <c r="B204" t="s">
        <v>29</v>
      </c>
      <c r="C204" t="s">
        <v>29</v>
      </c>
      <c r="D204" t="s">
        <v>49</v>
      </c>
      <c r="E204">
        <v>20</v>
      </c>
      <c r="F204">
        <v>40</v>
      </c>
      <c r="G204" t="s">
        <v>65</v>
      </c>
      <c r="H204" t="s">
        <v>45</v>
      </c>
      <c r="I204" s="24">
        <v>46035</v>
      </c>
      <c r="J204" t="s">
        <v>117</v>
      </c>
      <c r="K204" t="s">
        <v>117</v>
      </c>
      <c r="L204" t="s">
        <v>117</v>
      </c>
      <c r="M204">
        <v>7.9999999999999982</v>
      </c>
      <c r="N204">
        <v>159.99999999999997</v>
      </c>
      <c r="O204">
        <v>5.7142857142857144</v>
      </c>
      <c r="P204">
        <v>0</v>
      </c>
    </row>
    <row r="205" spans="1:16" x14ac:dyDescent="0.45">
      <c r="A205" t="s">
        <v>57</v>
      </c>
      <c r="B205" t="s">
        <v>29</v>
      </c>
      <c r="C205" t="s">
        <v>29</v>
      </c>
      <c r="D205" t="s">
        <v>49</v>
      </c>
      <c r="E205">
        <v>20</v>
      </c>
      <c r="F205">
        <v>40</v>
      </c>
      <c r="G205" t="s">
        <v>65</v>
      </c>
      <c r="H205" t="s">
        <v>44</v>
      </c>
      <c r="I205" s="24">
        <v>46035</v>
      </c>
      <c r="J205" t="s">
        <v>117</v>
      </c>
      <c r="K205" t="s">
        <v>117</v>
      </c>
      <c r="L205" t="s">
        <v>117</v>
      </c>
      <c r="M205">
        <v>8</v>
      </c>
      <c r="N205">
        <v>160</v>
      </c>
      <c r="O205">
        <v>5.7142857142857144</v>
      </c>
      <c r="P205">
        <v>0</v>
      </c>
    </row>
    <row r="206" spans="1:16" x14ac:dyDescent="0.45">
      <c r="A206" t="s">
        <v>58</v>
      </c>
      <c r="B206" t="s">
        <v>29</v>
      </c>
      <c r="C206" t="s">
        <v>29</v>
      </c>
      <c r="D206" t="s">
        <v>49</v>
      </c>
      <c r="E206">
        <v>20</v>
      </c>
      <c r="F206">
        <v>40</v>
      </c>
      <c r="G206" t="s">
        <v>65</v>
      </c>
      <c r="H206" t="s">
        <v>41</v>
      </c>
      <c r="I206" s="24">
        <v>46035</v>
      </c>
      <c r="J206" t="s">
        <v>117</v>
      </c>
      <c r="K206" t="s">
        <v>117</v>
      </c>
      <c r="L206" t="s">
        <v>117</v>
      </c>
      <c r="M206">
        <v>0</v>
      </c>
      <c r="N206">
        <v>0</v>
      </c>
      <c r="O206">
        <v>5.7142857142857144</v>
      </c>
      <c r="P206">
        <v>0</v>
      </c>
    </row>
    <row r="207" spans="1:16" x14ac:dyDescent="0.45">
      <c r="A207" t="s">
        <v>59</v>
      </c>
      <c r="B207" t="s">
        <v>29</v>
      </c>
      <c r="C207" t="s">
        <v>29</v>
      </c>
      <c r="D207" t="s">
        <v>60</v>
      </c>
      <c r="E207">
        <v>15</v>
      </c>
      <c r="F207">
        <v>20</v>
      </c>
      <c r="G207" t="s">
        <v>65</v>
      </c>
      <c r="H207" t="s">
        <v>46</v>
      </c>
      <c r="I207" s="24">
        <v>46035</v>
      </c>
      <c r="J207" t="s">
        <v>117</v>
      </c>
      <c r="K207" t="s">
        <v>117</v>
      </c>
      <c r="L207" t="s">
        <v>117</v>
      </c>
      <c r="M207">
        <v>4.9999999999999982</v>
      </c>
      <c r="N207">
        <v>74.999999999999972</v>
      </c>
      <c r="O207">
        <v>2.8571428571428572</v>
      </c>
      <c r="P207">
        <v>0</v>
      </c>
    </row>
    <row r="208" spans="1:16" x14ac:dyDescent="0.45">
      <c r="A208" t="s">
        <v>61</v>
      </c>
      <c r="B208" t="s">
        <v>29</v>
      </c>
      <c r="C208" t="s">
        <v>29</v>
      </c>
      <c r="D208" t="s">
        <v>60</v>
      </c>
      <c r="E208">
        <v>15</v>
      </c>
      <c r="F208">
        <v>20</v>
      </c>
      <c r="G208" t="s">
        <v>65</v>
      </c>
      <c r="H208" t="s">
        <v>40</v>
      </c>
      <c r="I208" s="24">
        <v>46035</v>
      </c>
      <c r="J208" t="s">
        <v>117</v>
      </c>
      <c r="K208" t="s">
        <v>117</v>
      </c>
      <c r="L208" t="s">
        <v>117</v>
      </c>
      <c r="M208">
        <v>5</v>
      </c>
      <c r="N208">
        <v>75</v>
      </c>
      <c r="O208">
        <v>2.8571428571428572</v>
      </c>
      <c r="P208">
        <v>0</v>
      </c>
    </row>
    <row r="209" spans="1:16" x14ac:dyDescent="0.45">
      <c r="A209" t="s">
        <v>62</v>
      </c>
      <c r="B209" t="s">
        <v>29</v>
      </c>
      <c r="C209" t="s">
        <v>29</v>
      </c>
      <c r="D209" t="s">
        <v>60</v>
      </c>
      <c r="E209">
        <v>15</v>
      </c>
      <c r="F209">
        <v>20</v>
      </c>
      <c r="G209" t="s">
        <v>65</v>
      </c>
      <c r="H209" t="s">
        <v>40</v>
      </c>
      <c r="I209" s="24">
        <v>46035</v>
      </c>
      <c r="J209" t="s">
        <v>117</v>
      </c>
      <c r="K209" t="s">
        <v>117</v>
      </c>
      <c r="L209" t="s">
        <v>117</v>
      </c>
      <c r="M209">
        <v>5</v>
      </c>
      <c r="N209">
        <v>75</v>
      </c>
      <c r="O209">
        <v>2.8571428571428572</v>
      </c>
      <c r="P209">
        <v>0</v>
      </c>
    </row>
    <row r="210" spans="1:16" x14ac:dyDescent="0.45">
      <c r="A210" t="s">
        <v>48</v>
      </c>
      <c r="B210" t="s">
        <v>30</v>
      </c>
      <c r="C210" t="s">
        <v>28</v>
      </c>
      <c r="D210" t="s">
        <v>49</v>
      </c>
      <c r="E210">
        <v>30</v>
      </c>
      <c r="F210">
        <v>40</v>
      </c>
      <c r="G210" t="s">
        <v>66</v>
      </c>
      <c r="H210" t="s">
        <v>40</v>
      </c>
      <c r="I210" s="24">
        <v>46036</v>
      </c>
      <c r="J210" t="s">
        <v>117</v>
      </c>
      <c r="K210" t="s">
        <v>117</v>
      </c>
      <c r="L210" t="s">
        <v>117</v>
      </c>
      <c r="M210">
        <v>5</v>
      </c>
      <c r="N210">
        <v>150</v>
      </c>
      <c r="O210">
        <v>5.7142857142857144</v>
      </c>
      <c r="P210">
        <v>0</v>
      </c>
    </row>
    <row r="211" spans="1:16" x14ac:dyDescent="0.45">
      <c r="A211" t="s">
        <v>50</v>
      </c>
      <c r="B211" t="s">
        <v>27</v>
      </c>
      <c r="C211" t="s">
        <v>28</v>
      </c>
      <c r="D211" t="s">
        <v>49</v>
      </c>
      <c r="E211">
        <v>25</v>
      </c>
      <c r="F211">
        <v>40</v>
      </c>
      <c r="G211" t="s">
        <v>66</v>
      </c>
      <c r="H211" t="s">
        <v>41</v>
      </c>
      <c r="I211" s="24">
        <v>46036</v>
      </c>
      <c r="J211" t="s">
        <v>117</v>
      </c>
      <c r="K211" t="s">
        <v>117</v>
      </c>
      <c r="L211" t="s">
        <v>117</v>
      </c>
      <c r="M211">
        <v>0</v>
      </c>
      <c r="N211">
        <v>0</v>
      </c>
      <c r="O211">
        <v>5.7142857142857144</v>
      </c>
      <c r="P211">
        <v>0</v>
      </c>
    </row>
    <row r="212" spans="1:16" x14ac:dyDescent="0.45">
      <c r="A212" t="s">
        <v>51</v>
      </c>
      <c r="B212" t="s">
        <v>27</v>
      </c>
      <c r="C212" t="s">
        <v>28</v>
      </c>
      <c r="D212" t="s">
        <v>49</v>
      </c>
      <c r="E212">
        <v>25</v>
      </c>
      <c r="F212">
        <v>40</v>
      </c>
      <c r="G212" t="s">
        <v>66</v>
      </c>
      <c r="H212" t="s">
        <v>35</v>
      </c>
      <c r="I212" s="24">
        <v>46036</v>
      </c>
      <c r="J212" t="s">
        <v>117</v>
      </c>
      <c r="K212" t="s">
        <v>117</v>
      </c>
      <c r="L212" t="s">
        <v>117</v>
      </c>
      <c r="M212">
        <v>7</v>
      </c>
      <c r="N212">
        <v>175</v>
      </c>
      <c r="O212">
        <v>5.7142857142857144</v>
      </c>
      <c r="P212">
        <v>0</v>
      </c>
    </row>
    <row r="213" spans="1:16" x14ac:dyDescent="0.45">
      <c r="A213" t="s">
        <v>52</v>
      </c>
      <c r="B213" t="s">
        <v>26</v>
      </c>
      <c r="C213" t="s">
        <v>26</v>
      </c>
      <c r="D213" t="s">
        <v>49</v>
      </c>
      <c r="E213">
        <v>35</v>
      </c>
      <c r="F213">
        <v>40</v>
      </c>
      <c r="G213" t="s">
        <v>66</v>
      </c>
      <c r="H213" t="s">
        <v>41</v>
      </c>
      <c r="I213" s="24">
        <v>46036</v>
      </c>
      <c r="J213" t="s">
        <v>117</v>
      </c>
      <c r="K213" t="s">
        <v>117</v>
      </c>
      <c r="L213" t="s">
        <v>117</v>
      </c>
      <c r="M213">
        <v>0</v>
      </c>
      <c r="N213">
        <v>0</v>
      </c>
      <c r="O213">
        <v>5.7142857142857144</v>
      </c>
      <c r="P213">
        <v>0</v>
      </c>
    </row>
    <row r="214" spans="1:16" x14ac:dyDescent="0.45">
      <c r="A214" t="s">
        <v>53</v>
      </c>
      <c r="B214" t="s">
        <v>26</v>
      </c>
      <c r="C214" t="s">
        <v>26</v>
      </c>
      <c r="D214" t="s">
        <v>49</v>
      </c>
      <c r="E214">
        <v>35</v>
      </c>
      <c r="F214">
        <v>40</v>
      </c>
      <c r="G214" t="s">
        <v>66</v>
      </c>
      <c r="H214" t="s">
        <v>42</v>
      </c>
      <c r="I214" s="24">
        <v>46036</v>
      </c>
      <c r="J214" t="s">
        <v>117</v>
      </c>
      <c r="K214" t="s">
        <v>117</v>
      </c>
      <c r="L214" t="s">
        <v>117</v>
      </c>
      <c r="M214">
        <v>7.9999999999999982</v>
      </c>
      <c r="N214">
        <v>279.99999999999994</v>
      </c>
      <c r="O214">
        <v>5.7142857142857144</v>
      </c>
      <c r="P214">
        <v>0</v>
      </c>
    </row>
    <row r="215" spans="1:16" x14ac:dyDescent="0.45">
      <c r="A215" t="s">
        <v>54</v>
      </c>
      <c r="B215" t="s">
        <v>25</v>
      </c>
      <c r="C215" t="s">
        <v>26</v>
      </c>
      <c r="D215" t="s">
        <v>49</v>
      </c>
      <c r="E215">
        <v>28</v>
      </c>
      <c r="F215">
        <v>40</v>
      </c>
      <c r="G215" t="s">
        <v>66</v>
      </c>
      <c r="H215" t="s">
        <v>42</v>
      </c>
      <c r="I215" s="24">
        <v>46036</v>
      </c>
      <c r="J215" t="s">
        <v>117</v>
      </c>
      <c r="K215" t="s">
        <v>117</v>
      </c>
      <c r="L215" t="s">
        <v>117</v>
      </c>
      <c r="M215">
        <v>7.9999999999999982</v>
      </c>
      <c r="N215">
        <v>223.99999999999994</v>
      </c>
      <c r="O215">
        <v>5.7142857142857144</v>
      </c>
      <c r="P215">
        <v>0</v>
      </c>
    </row>
    <row r="216" spans="1:16" x14ac:dyDescent="0.45">
      <c r="A216" t="s">
        <v>55</v>
      </c>
      <c r="B216" t="s">
        <v>25</v>
      </c>
      <c r="C216" t="s">
        <v>26</v>
      </c>
      <c r="D216" t="s">
        <v>49</v>
      </c>
      <c r="E216">
        <v>28</v>
      </c>
      <c r="F216">
        <v>40</v>
      </c>
      <c r="G216" t="s">
        <v>66</v>
      </c>
      <c r="H216" t="s">
        <v>44</v>
      </c>
      <c r="I216" s="24">
        <v>46036</v>
      </c>
      <c r="J216" t="s">
        <v>117</v>
      </c>
      <c r="K216" t="s">
        <v>117</v>
      </c>
      <c r="L216" t="s">
        <v>117</v>
      </c>
      <c r="M216">
        <v>8</v>
      </c>
      <c r="N216">
        <v>224</v>
      </c>
      <c r="O216">
        <v>5.7142857142857144</v>
      </c>
      <c r="P216">
        <v>0</v>
      </c>
    </row>
    <row r="217" spans="1:16" x14ac:dyDescent="0.45">
      <c r="A217" t="s">
        <v>56</v>
      </c>
      <c r="B217" t="s">
        <v>29</v>
      </c>
      <c r="C217" t="s">
        <v>29</v>
      </c>
      <c r="D217" t="s">
        <v>49</v>
      </c>
      <c r="E217">
        <v>20</v>
      </c>
      <c r="F217">
        <v>40</v>
      </c>
      <c r="G217" t="s">
        <v>66</v>
      </c>
      <c r="H217" t="s">
        <v>45</v>
      </c>
      <c r="I217" s="24">
        <v>46036</v>
      </c>
      <c r="J217" t="s">
        <v>117</v>
      </c>
      <c r="K217" t="s">
        <v>117</v>
      </c>
      <c r="L217" t="s">
        <v>117</v>
      </c>
      <c r="M217">
        <v>7.9999999999999982</v>
      </c>
      <c r="N217">
        <v>159.99999999999997</v>
      </c>
      <c r="O217">
        <v>5.7142857142857144</v>
      </c>
      <c r="P217">
        <v>0</v>
      </c>
    </row>
    <row r="218" spans="1:16" x14ac:dyDescent="0.45">
      <c r="A218" t="s">
        <v>57</v>
      </c>
      <c r="B218" t="s">
        <v>29</v>
      </c>
      <c r="C218" t="s">
        <v>29</v>
      </c>
      <c r="D218" t="s">
        <v>49</v>
      </c>
      <c r="E218">
        <v>20</v>
      </c>
      <c r="F218">
        <v>40</v>
      </c>
      <c r="G218" t="s">
        <v>66</v>
      </c>
      <c r="H218" t="s">
        <v>44</v>
      </c>
      <c r="I218" s="24">
        <v>46036</v>
      </c>
      <c r="J218" t="s">
        <v>117</v>
      </c>
      <c r="K218" t="s">
        <v>117</v>
      </c>
      <c r="L218" t="s">
        <v>117</v>
      </c>
      <c r="M218">
        <v>8</v>
      </c>
      <c r="N218">
        <v>160</v>
      </c>
      <c r="O218">
        <v>5.7142857142857144</v>
      </c>
      <c r="P218">
        <v>0</v>
      </c>
    </row>
    <row r="219" spans="1:16" x14ac:dyDescent="0.45">
      <c r="A219" t="s">
        <v>58</v>
      </c>
      <c r="B219" t="s">
        <v>29</v>
      </c>
      <c r="C219" t="s">
        <v>29</v>
      </c>
      <c r="D219" t="s">
        <v>49</v>
      </c>
      <c r="E219">
        <v>20</v>
      </c>
      <c r="F219">
        <v>40</v>
      </c>
      <c r="G219" t="s">
        <v>66</v>
      </c>
      <c r="H219" t="s">
        <v>41</v>
      </c>
      <c r="I219" s="24">
        <v>46036</v>
      </c>
      <c r="J219" t="s">
        <v>117</v>
      </c>
      <c r="K219" t="s">
        <v>117</v>
      </c>
      <c r="L219" t="s">
        <v>117</v>
      </c>
      <c r="M219">
        <v>0</v>
      </c>
      <c r="N219">
        <v>0</v>
      </c>
      <c r="O219">
        <v>5.7142857142857144</v>
      </c>
      <c r="P219">
        <v>0</v>
      </c>
    </row>
    <row r="220" spans="1:16" x14ac:dyDescent="0.45">
      <c r="A220" t="s">
        <v>59</v>
      </c>
      <c r="B220" t="s">
        <v>29</v>
      </c>
      <c r="C220" t="s">
        <v>29</v>
      </c>
      <c r="D220" t="s">
        <v>60</v>
      </c>
      <c r="E220">
        <v>15</v>
      </c>
      <c r="F220">
        <v>20</v>
      </c>
      <c r="G220" t="s">
        <v>66</v>
      </c>
      <c r="H220" t="s">
        <v>46</v>
      </c>
      <c r="I220" s="24">
        <v>46036</v>
      </c>
      <c r="J220" t="s">
        <v>117</v>
      </c>
      <c r="K220" t="s">
        <v>117</v>
      </c>
      <c r="L220" t="s">
        <v>117</v>
      </c>
      <c r="M220">
        <v>4.9999999999999982</v>
      </c>
      <c r="N220">
        <v>74.999999999999972</v>
      </c>
      <c r="O220">
        <v>2.8571428571428572</v>
      </c>
      <c r="P220">
        <v>0</v>
      </c>
    </row>
    <row r="221" spans="1:16" x14ac:dyDescent="0.45">
      <c r="A221" t="s">
        <v>61</v>
      </c>
      <c r="B221" t="s">
        <v>29</v>
      </c>
      <c r="C221" t="s">
        <v>29</v>
      </c>
      <c r="D221" t="s">
        <v>60</v>
      </c>
      <c r="E221">
        <v>15</v>
      </c>
      <c r="F221">
        <v>20</v>
      </c>
      <c r="G221" t="s">
        <v>66</v>
      </c>
      <c r="H221" t="s">
        <v>39</v>
      </c>
      <c r="I221" s="24">
        <v>46036</v>
      </c>
      <c r="J221" t="s">
        <v>117</v>
      </c>
      <c r="K221" t="s">
        <v>117</v>
      </c>
      <c r="L221" t="s">
        <v>117</v>
      </c>
      <c r="M221">
        <v>4.9999999999999982</v>
      </c>
      <c r="N221">
        <v>74.999999999999972</v>
      </c>
      <c r="O221">
        <v>2.8571428571428572</v>
      </c>
      <c r="P221">
        <v>0</v>
      </c>
    </row>
    <row r="222" spans="1:16" x14ac:dyDescent="0.45">
      <c r="A222" t="s">
        <v>62</v>
      </c>
      <c r="B222" t="s">
        <v>29</v>
      </c>
      <c r="C222" t="s">
        <v>29</v>
      </c>
      <c r="D222" t="s">
        <v>60</v>
      </c>
      <c r="E222">
        <v>15</v>
      </c>
      <c r="F222">
        <v>20</v>
      </c>
      <c r="G222" t="s">
        <v>66</v>
      </c>
      <c r="H222" t="s">
        <v>41</v>
      </c>
      <c r="I222" s="24">
        <v>46036</v>
      </c>
      <c r="J222" t="s">
        <v>117</v>
      </c>
      <c r="K222" t="s">
        <v>117</v>
      </c>
      <c r="L222" t="s">
        <v>117</v>
      </c>
      <c r="M222">
        <v>0</v>
      </c>
      <c r="N222">
        <v>0</v>
      </c>
      <c r="O222">
        <v>2.8571428571428572</v>
      </c>
      <c r="P222">
        <v>0</v>
      </c>
    </row>
    <row r="223" spans="1:16" x14ac:dyDescent="0.45">
      <c r="A223" t="s">
        <v>48</v>
      </c>
      <c r="B223" t="s">
        <v>30</v>
      </c>
      <c r="C223" t="s">
        <v>28</v>
      </c>
      <c r="D223" t="s">
        <v>49</v>
      </c>
      <c r="E223">
        <v>30</v>
      </c>
      <c r="F223">
        <v>40</v>
      </c>
      <c r="G223" t="s">
        <v>67</v>
      </c>
      <c r="H223" t="s">
        <v>41</v>
      </c>
      <c r="I223" s="24">
        <v>46037</v>
      </c>
      <c r="J223" t="s">
        <v>117</v>
      </c>
      <c r="K223" t="s">
        <v>117</v>
      </c>
      <c r="L223" t="s">
        <v>117</v>
      </c>
      <c r="M223">
        <v>0</v>
      </c>
      <c r="N223">
        <v>0</v>
      </c>
      <c r="O223">
        <v>5.7142857142857144</v>
      </c>
      <c r="P223">
        <v>0</v>
      </c>
    </row>
    <row r="224" spans="1:16" x14ac:dyDescent="0.45">
      <c r="A224" t="s">
        <v>50</v>
      </c>
      <c r="B224" t="s">
        <v>27</v>
      </c>
      <c r="C224" t="s">
        <v>28</v>
      </c>
      <c r="D224" t="s">
        <v>49</v>
      </c>
      <c r="E224">
        <v>25</v>
      </c>
      <c r="F224">
        <v>40</v>
      </c>
      <c r="G224" t="s">
        <v>67</v>
      </c>
      <c r="H224" t="s">
        <v>37</v>
      </c>
      <c r="I224" s="24">
        <v>46037</v>
      </c>
      <c r="J224" t="s">
        <v>117</v>
      </c>
      <c r="K224" t="s">
        <v>117</v>
      </c>
      <c r="L224" t="s">
        <v>117</v>
      </c>
      <c r="M224">
        <v>7</v>
      </c>
      <c r="N224">
        <v>175</v>
      </c>
      <c r="O224">
        <v>5.7142857142857144</v>
      </c>
      <c r="P224">
        <v>0</v>
      </c>
    </row>
    <row r="225" spans="1:16" x14ac:dyDescent="0.45">
      <c r="A225" t="s">
        <v>51</v>
      </c>
      <c r="B225" t="s">
        <v>27</v>
      </c>
      <c r="C225" t="s">
        <v>28</v>
      </c>
      <c r="D225" t="s">
        <v>49</v>
      </c>
      <c r="E225">
        <v>25</v>
      </c>
      <c r="F225">
        <v>40</v>
      </c>
      <c r="G225" t="s">
        <v>67</v>
      </c>
      <c r="H225" t="s">
        <v>35</v>
      </c>
      <c r="I225" s="24">
        <v>46037</v>
      </c>
      <c r="J225" t="s">
        <v>117</v>
      </c>
      <c r="K225" t="s">
        <v>117</v>
      </c>
      <c r="L225" t="s">
        <v>117</v>
      </c>
      <c r="M225">
        <v>7</v>
      </c>
      <c r="N225">
        <v>175</v>
      </c>
      <c r="O225">
        <v>5.7142857142857144</v>
      </c>
      <c r="P225">
        <v>0</v>
      </c>
    </row>
    <row r="226" spans="1:16" x14ac:dyDescent="0.45">
      <c r="A226" t="s">
        <v>52</v>
      </c>
      <c r="B226" t="s">
        <v>26</v>
      </c>
      <c r="C226" t="s">
        <v>26</v>
      </c>
      <c r="D226" t="s">
        <v>49</v>
      </c>
      <c r="E226">
        <v>35</v>
      </c>
      <c r="F226">
        <v>40</v>
      </c>
      <c r="G226" t="s">
        <v>67</v>
      </c>
      <c r="H226" t="s">
        <v>41</v>
      </c>
      <c r="I226" s="24">
        <v>46037</v>
      </c>
      <c r="J226" t="s">
        <v>117</v>
      </c>
      <c r="K226" t="s">
        <v>117</v>
      </c>
      <c r="L226" t="s">
        <v>117</v>
      </c>
      <c r="M226">
        <v>0</v>
      </c>
      <c r="N226">
        <v>0</v>
      </c>
      <c r="O226">
        <v>5.7142857142857144</v>
      </c>
      <c r="P226">
        <v>0</v>
      </c>
    </row>
    <row r="227" spans="1:16" x14ac:dyDescent="0.45">
      <c r="A227" t="s">
        <v>53</v>
      </c>
      <c r="B227" t="s">
        <v>26</v>
      </c>
      <c r="C227" t="s">
        <v>26</v>
      </c>
      <c r="D227" t="s">
        <v>49</v>
      </c>
      <c r="E227">
        <v>35</v>
      </c>
      <c r="F227">
        <v>40</v>
      </c>
      <c r="G227" t="s">
        <v>67</v>
      </c>
      <c r="H227" t="s">
        <v>44</v>
      </c>
      <c r="I227" s="24">
        <v>46037</v>
      </c>
      <c r="J227" t="s">
        <v>117</v>
      </c>
      <c r="K227" t="s">
        <v>117</v>
      </c>
      <c r="L227" t="s">
        <v>117</v>
      </c>
      <c r="M227">
        <v>8</v>
      </c>
      <c r="N227">
        <v>280</v>
      </c>
      <c r="O227">
        <v>5.7142857142857144</v>
      </c>
      <c r="P227">
        <v>0</v>
      </c>
    </row>
    <row r="228" spans="1:16" x14ac:dyDescent="0.45">
      <c r="A228" t="s">
        <v>54</v>
      </c>
      <c r="B228" t="s">
        <v>25</v>
      </c>
      <c r="C228" t="s">
        <v>26</v>
      </c>
      <c r="D228" t="s">
        <v>49</v>
      </c>
      <c r="E228">
        <v>28</v>
      </c>
      <c r="F228">
        <v>40</v>
      </c>
      <c r="G228" t="s">
        <v>67</v>
      </c>
      <c r="H228" t="s">
        <v>42</v>
      </c>
      <c r="I228" s="24">
        <v>46037</v>
      </c>
      <c r="J228" t="s">
        <v>117</v>
      </c>
      <c r="K228" t="s">
        <v>117</v>
      </c>
      <c r="L228" t="s">
        <v>117</v>
      </c>
      <c r="M228">
        <v>7.9999999999999982</v>
      </c>
      <c r="N228">
        <v>223.99999999999994</v>
      </c>
      <c r="O228">
        <v>5.7142857142857144</v>
      </c>
      <c r="P228">
        <v>0</v>
      </c>
    </row>
    <row r="229" spans="1:16" x14ac:dyDescent="0.45">
      <c r="A229" t="s">
        <v>55</v>
      </c>
      <c r="B229" t="s">
        <v>25</v>
      </c>
      <c r="C229" t="s">
        <v>26</v>
      </c>
      <c r="D229" t="s">
        <v>49</v>
      </c>
      <c r="E229">
        <v>28</v>
      </c>
      <c r="F229">
        <v>40</v>
      </c>
      <c r="G229" t="s">
        <v>67</v>
      </c>
      <c r="H229" t="s">
        <v>44</v>
      </c>
      <c r="I229" s="24">
        <v>46037</v>
      </c>
      <c r="J229" t="s">
        <v>117</v>
      </c>
      <c r="K229" t="s">
        <v>117</v>
      </c>
      <c r="L229" t="s">
        <v>117</v>
      </c>
      <c r="M229">
        <v>8</v>
      </c>
      <c r="N229">
        <v>224</v>
      </c>
      <c r="O229">
        <v>5.7142857142857144</v>
      </c>
      <c r="P229">
        <v>0</v>
      </c>
    </row>
    <row r="230" spans="1:16" x14ac:dyDescent="0.45">
      <c r="A230" t="s">
        <v>56</v>
      </c>
      <c r="B230" t="s">
        <v>29</v>
      </c>
      <c r="C230" t="s">
        <v>29</v>
      </c>
      <c r="D230" t="s">
        <v>49</v>
      </c>
      <c r="E230">
        <v>20</v>
      </c>
      <c r="F230">
        <v>40</v>
      </c>
      <c r="G230" t="s">
        <v>67</v>
      </c>
      <c r="H230" t="s">
        <v>41</v>
      </c>
      <c r="I230" s="24">
        <v>46037</v>
      </c>
      <c r="J230" t="s">
        <v>117</v>
      </c>
      <c r="K230" t="s">
        <v>117</v>
      </c>
      <c r="L230" t="s">
        <v>117</v>
      </c>
      <c r="M230">
        <v>0</v>
      </c>
      <c r="N230">
        <v>0</v>
      </c>
      <c r="O230">
        <v>5.7142857142857144</v>
      </c>
      <c r="P230">
        <v>0</v>
      </c>
    </row>
    <row r="231" spans="1:16" x14ac:dyDescent="0.45">
      <c r="A231" t="s">
        <v>57</v>
      </c>
      <c r="B231" t="s">
        <v>29</v>
      </c>
      <c r="C231" t="s">
        <v>29</v>
      </c>
      <c r="D231" t="s">
        <v>49</v>
      </c>
      <c r="E231">
        <v>20</v>
      </c>
      <c r="F231">
        <v>40</v>
      </c>
      <c r="G231" t="s">
        <v>67</v>
      </c>
      <c r="H231" t="s">
        <v>44</v>
      </c>
      <c r="I231" s="24">
        <v>46037</v>
      </c>
      <c r="J231" t="s">
        <v>117</v>
      </c>
      <c r="K231" t="s">
        <v>117</v>
      </c>
      <c r="L231" t="s">
        <v>117</v>
      </c>
      <c r="M231">
        <v>8</v>
      </c>
      <c r="N231">
        <v>160</v>
      </c>
      <c r="O231">
        <v>5.7142857142857144</v>
      </c>
      <c r="P231">
        <v>0</v>
      </c>
    </row>
    <row r="232" spans="1:16" x14ac:dyDescent="0.45">
      <c r="A232" t="s">
        <v>58</v>
      </c>
      <c r="B232" t="s">
        <v>29</v>
      </c>
      <c r="C232" t="s">
        <v>29</v>
      </c>
      <c r="D232" t="s">
        <v>49</v>
      </c>
      <c r="E232">
        <v>20</v>
      </c>
      <c r="F232">
        <v>40</v>
      </c>
      <c r="G232" t="s">
        <v>67</v>
      </c>
      <c r="H232" t="s">
        <v>44</v>
      </c>
      <c r="I232" s="24">
        <v>46037</v>
      </c>
      <c r="J232" t="s">
        <v>117</v>
      </c>
      <c r="K232" t="s">
        <v>117</v>
      </c>
      <c r="L232" t="s">
        <v>117</v>
      </c>
      <c r="M232">
        <v>8</v>
      </c>
      <c r="N232">
        <v>160</v>
      </c>
      <c r="O232">
        <v>5.7142857142857144</v>
      </c>
      <c r="P232">
        <v>0</v>
      </c>
    </row>
    <row r="233" spans="1:16" x14ac:dyDescent="0.45">
      <c r="A233" t="s">
        <v>59</v>
      </c>
      <c r="B233" t="s">
        <v>29</v>
      </c>
      <c r="C233" t="s">
        <v>29</v>
      </c>
      <c r="D233" t="s">
        <v>60</v>
      </c>
      <c r="E233">
        <v>15</v>
      </c>
      <c r="F233">
        <v>20</v>
      </c>
      <c r="G233" t="s">
        <v>67</v>
      </c>
      <c r="H233" t="s">
        <v>46</v>
      </c>
      <c r="I233" s="24">
        <v>46037</v>
      </c>
      <c r="J233" t="s">
        <v>117</v>
      </c>
      <c r="K233" t="s">
        <v>117</v>
      </c>
      <c r="L233" t="s">
        <v>117</v>
      </c>
      <c r="M233">
        <v>4.9999999999999982</v>
      </c>
      <c r="N233">
        <v>74.999999999999972</v>
      </c>
      <c r="O233">
        <v>2.8571428571428572</v>
      </c>
      <c r="P233">
        <v>0</v>
      </c>
    </row>
    <row r="234" spans="1:16" x14ac:dyDescent="0.45">
      <c r="A234" t="s">
        <v>61</v>
      </c>
      <c r="B234" t="s">
        <v>29</v>
      </c>
      <c r="C234" t="s">
        <v>29</v>
      </c>
      <c r="D234" t="s">
        <v>60</v>
      </c>
      <c r="E234">
        <v>15</v>
      </c>
      <c r="F234">
        <v>20</v>
      </c>
      <c r="G234" t="s">
        <v>67</v>
      </c>
      <c r="H234" t="s">
        <v>41</v>
      </c>
      <c r="I234" s="24">
        <v>46037</v>
      </c>
      <c r="J234" t="s">
        <v>117</v>
      </c>
      <c r="K234" t="s">
        <v>117</v>
      </c>
      <c r="L234" t="s">
        <v>117</v>
      </c>
      <c r="M234">
        <v>0</v>
      </c>
      <c r="N234">
        <v>0</v>
      </c>
      <c r="O234">
        <v>2.8571428571428572</v>
      </c>
      <c r="P234">
        <v>0</v>
      </c>
    </row>
    <row r="235" spans="1:16" x14ac:dyDescent="0.45">
      <c r="A235" t="s">
        <v>62</v>
      </c>
      <c r="B235" t="s">
        <v>29</v>
      </c>
      <c r="C235" t="s">
        <v>29</v>
      </c>
      <c r="D235" t="s">
        <v>60</v>
      </c>
      <c r="E235">
        <v>15</v>
      </c>
      <c r="F235">
        <v>20</v>
      </c>
      <c r="G235" t="s">
        <v>67</v>
      </c>
      <c r="H235" t="s">
        <v>41</v>
      </c>
      <c r="I235" s="24">
        <v>46037</v>
      </c>
      <c r="J235" t="s">
        <v>117</v>
      </c>
      <c r="K235" t="s">
        <v>117</v>
      </c>
      <c r="L235" t="s">
        <v>117</v>
      </c>
      <c r="M235">
        <v>0</v>
      </c>
      <c r="N235">
        <v>0</v>
      </c>
      <c r="O235">
        <v>2.8571428571428572</v>
      </c>
      <c r="P235">
        <v>0</v>
      </c>
    </row>
    <row r="236" spans="1:16" x14ac:dyDescent="0.45">
      <c r="A236" t="s">
        <v>48</v>
      </c>
      <c r="B236" t="s">
        <v>30</v>
      </c>
      <c r="C236" t="s">
        <v>28</v>
      </c>
      <c r="D236" t="s">
        <v>49</v>
      </c>
      <c r="E236">
        <v>30</v>
      </c>
      <c r="F236">
        <v>40</v>
      </c>
      <c r="G236" t="s">
        <v>68</v>
      </c>
      <c r="H236" t="s">
        <v>35</v>
      </c>
      <c r="I236" s="24">
        <v>46038</v>
      </c>
      <c r="J236" t="s">
        <v>117</v>
      </c>
      <c r="K236" t="s">
        <v>117</v>
      </c>
      <c r="L236" t="s">
        <v>117</v>
      </c>
      <c r="M236">
        <v>7</v>
      </c>
      <c r="N236">
        <v>210</v>
      </c>
      <c r="O236">
        <v>5.7142857142857144</v>
      </c>
      <c r="P236">
        <v>0</v>
      </c>
    </row>
    <row r="237" spans="1:16" x14ac:dyDescent="0.45">
      <c r="A237" t="s">
        <v>50</v>
      </c>
      <c r="B237" t="s">
        <v>27</v>
      </c>
      <c r="C237" t="s">
        <v>28</v>
      </c>
      <c r="D237" t="s">
        <v>49</v>
      </c>
      <c r="E237">
        <v>25</v>
      </c>
      <c r="F237">
        <v>40</v>
      </c>
      <c r="G237" t="s">
        <v>68</v>
      </c>
      <c r="H237" t="s">
        <v>37</v>
      </c>
      <c r="I237" s="24">
        <v>46038</v>
      </c>
      <c r="J237" t="s">
        <v>117</v>
      </c>
      <c r="K237" t="s">
        <v>117</v>
      </c>
      <c r="L237" t="s">
        <v>117</v>
      </c>
      <c r="M237">
        <v>7</v>
      </c>
      <c r="N237">
        <v>175</v>
      </c>
      <c r="O237">
        <v>5.7142857142857144</v>
      </c>
      <c r="P237">
        <v>0</v>
      </c>
    </row>
    <row r="238" spans="1:16" x14ac:dyDescent="0.45">
      <c r="A238" t="s">
        <v>51</v>
      </c>
      <c r="B238" t="s">
        <v>27</v>
      </c>
      <c r="C238" t="s">
        <v>28</v>
      </c>
      <c r="D238" t="s">
        <v>49</v>
      </c>
      <c r="E238">
        <v>25</v>
      </c>
      <c r="F238">
        <v>40</v>
      </c>
      <c r="G238" t="s">
        <v>68</v>
      </c>
      <c r="H238" t="s">
        <v>35</v>
      </c>
      <c r="I238" s="24">
        <v>46038</v>
      </c>
      <c r="J238" t="s">
        <v>117</v>
      </c>
      <c r="K238" t="s">
        <v>117</v>
      </c>
      <c r="L238" t="s">
        <v>117</v>
      </c>
      <c r="M238">
        <v>7</v>
      </c>
      <c r="N238">
        <v>175</v>
      </c>
      <c r="O238">
        <v>5.7142857142857144</v>
      </c>
      <c r="P238">
        <v>0</v>
      </c>
    </row>
    <row r="239" spans="1:16" x14ac:dyDescent="0.45">
      <c r="A239" t="s">
        <v>52</v>
      </c>
      <c r="B239" t="s">
        <v>26</v>
      </c>
      <c r="C239" t="s">
        <v>26</v>
      </c>
      <c r="D239" t="s">
        <v>49</v>
      </c>
      <c r="E239">
        <v>35</v>
      </c>
      <c r="F239">
        <v>40</v>
      </c>
      <c r="G239" t="s">
        <v>68</v>
      </c>
      <c r="H239" t="s">
        <v>41</v>
      </c>
      <c r="I239" s="24">
        <v>46038</v>
      </c>
      <c r="J239" t="s">
        <v>117</v>
      </c>
      <c r="K239" t="s">
        <v>117</v>
      </c>
      <c r="L239" t="s">
        <v>117</v>
      </c>
      <c r="M239">
        <v>0</v>
      </c>
      <c r="N239">
        <v>0</v>
      </c>
      <c r="O239">
        <v>5.7142857142857144</v>
      </c>
      <c r="P239">
        <v>0</v>
      </c>
    </row>
    <row r="240" spans="1:16" x14ac:dyDescent="0.45">
      <c r="A240" t="s">
        <v>53</v>
      </c>
      <c r="B240" t="s">
        <v>26</v>
      </c>
      <c r="C240" t="s">
        <v>26</v>
      </c>
      <c r="D240" t="s">
        <v>49</v>
      </c>
      <c r="E240">
        <v>35</v>
      </c>
      <c r="F240">
        <v>40</v>
      </c>
      <c r="G240" t="s">
        <v>68</v>
      </c>
      <c r="H240" t="s">
        <v>41</v>
      </c>
      <c r="I240" s="24">
        <v>46038</v>
      </c>
      <c r="J240" t="s">
        <v>117</v>
      </c>
      <c r="K240" t="s">
        <v>117</v>
      </c>
      <c r="L240" t="s">
        <v>117</v>
      </c>
      <c r="M240">
        <v>0</v>
      </c>
      <c r="N240">
        <v>0</v>
      </c>
      <c r="O240">
        <v>5.7142857142857144</v>
      </c>
      <c r="P240">
        <v>0</v>
      </c>
    </row>
    <row r="241" spans="1:16" x14ac:dyDescent="0.45">
      <c r="A241" t="s">
        <v>54</v>
      </c>
      <c r="B241" t="s">
        <v>25</v>
      </c>
      <c r="C241" t="s">
        <v>26</v>
      </c>
      <c r="D241" t="s">
        <v>49</v>
      </c>
      <c r="E241">
        <v>28</v>
      </c>
      <c r="F241">
        <v>40</v>
      </c>
      <c r="G241" t="s">
        <v>68</v>
      </c>
      <c r="H241" t="s">
        <v>42</v>
      </c>
      <c r="I241" s="24">
        <v>46038</v>
      </c>
      <c r="J241" t="s">
        <v>117</v>
      </c>
      <c r="K241" t="s">
        <v>117</v>
      </c>
      <c r="L241" t="s">
        <v>117</v>
      </c>
      <c r="M241">
        <v>7.9999999999999982</v>
      </c>
      <c r="N241">
        <v>223.99999999999994</v>
      </c>
      <c r="O241">
        <v>5.7142857142857144</v>
      </c>
      <c r="P241">
        <v>0</v>
      </c>
    </row>
    <row r="242" spans="1:16" x14ac:dyDescent="0.45">
      <c r="A242" t="s">
        <v>55</v>
      </c>
      <c r="B242" t="s">
        <v>25</v>
      </c>
      <c r="C242" t="s">
        <v>26</v>
      </c>
      <c r="D242" t="s">
        <v>49</v>
      </c>
      <c r="E242">
        <v>28</v>
      </c>
      <c r="F242">
        <v>40</v>
      </c>
      <c r="G242" t="s">
        <v>68</v>
      </c>
      <c r="H242" t="s">
        <v>44</v>
      </c>
      <c r="I242" s="24">
        <v>46038</v>
      </c>
      <c r="J242" t="s">
        <v>117</v>
      </c>
      <c r="K242" t="s">
        <v>117</v>
      </c>
      <c r="L242" t="s">
        <v>117</v>
      </c>
      <c r="M242">
        <v>8</v>
      </c>
      <c r="N242">
        <v>224</v>
      </c>
      <c r="O242">
        <v>5.7142857142857144</v>
      </c>
      <c r="P242">
        <v>0</v>
      </c>
    </row>
    <row r="243" spans="1:16" x14ac:dyDescent="0.45">
      <c r="A243" t="s">
        <v>56</v>
      </c>
      <c r="B243" t="s">
        <v>29</v>
      </c>
      <c r="C243" t="s">
        <v>29</v>
      </c>
      <c r="D243" t="s">
        <v>49</v>
      </c>
      <c r="E243">
        <v>20</v>
      </c>
      <c r="F243">
        <v>40</v>
      </c>
      <c r="G243" t="s">
        <v>68</v>
      </c>
      <c r="H243" t="s">
        <v>44</v>
      </c>
      <c r="I243" s="24">
        <v>46038</v>
      </c>
      <c r="J243" t="s">
        <v>117</v>
      </c>
      <c r="K243" t="s">
        <v>117</v>
      </c>
      <c r="L243" t="s">
        <v>117</v>
      </c>
      <c r="M243">
        <v>8</v>
      </c>
      <c r="N243">
        <v>160</v>
      </c>
      <c r="O243">
        <v>5.7142857142857144</v>
      </c>
      <c r="P243">
        <v>0</v>
      </c>
    </row>
    <row r="244" spans="1:16" x14ac:dyDescent="0.45">
      <c r="A244" t="s">
        <v>57</v>
      </c>
      <c r="B244" t="s">
        <v>29</v>
      </c>
      <c r="C244" t="s">
        <v>29</v>
      </c>
      <c r="D244" t="s">
        <v>49</v>
      </c>
      <c r="E244">
        <v>20</v>
      </c>
      <c r="F244">
        <v>40</v>
      </c>
      <c r="G244" t="s">
        <v>68</v>
      </c>
      <c r="H244" t="s">
        <v>41</v>
      </c>
      <c r="I244" s="24">
        <v>46038</v>
      </c>
      <c r="J244" t="s">
        <v>117</v>
      </c>
      <c r="K244" t="s">
        <v>117</v>
      </c>
      <c r="L244" t="s">
        <v>117</v>
      </c>
      <c r="M244">
        <v>0</v>
      </c>
      <c r="N244">
        <v>0</v>
      </c>
      <c r="O244">
        <v>5.7142857142857144</v>
      </c>
      <c r="P244">
        <v>0</v>
      </c>
    </row>
    <row r="245" spans="1:16" x14ac:dyDescent="0.45">
      <c r="A245" t="s">
        <v>58</v>
      </c>
      <c r="B245" t="s">
        <v>29</v>
      </c>
      <c r="C245" t="s">
        <v>29</v>
      </c>
      <c r="D245" t="s">
        <v>49</v>
      </c>
      <c r="E245">
        <v>20</v>
      </c>
      <c r="F245">
        <v>40</v>
      </c>
      <c r="G245" t="s">
        <v>68</v>
      </c>
      <c r="H245" t="s">
        <v>46</v>
      </c>
      <c r="I245" s="24">
        <v>46038</v>
      </c>
      <c r="J245" t="s">
        <v>117</v>
      </c>
      <c r="K245" t="s">
        <v>117</v>
      </c>
      <c r="L245" t="s">
        <v>117</v>
      </c>
      <c r="M245">
        <v>4.9999999999999982</v>
      </c>
      <c r="N245">
        <v>99.999999999999972</v>
      </c>
      <c r="O245">
        <v>5.7142857142857144</v>
      </c>
      <c r="P245">
        <v>0</v>
      </c>
    </row>
    <row r="246" spans="1:16" x14ac:dyDescent="0.45">
      <c r="A246" t="s">
        <v>59</v>
      </c>
      <c r="B246" t="s">
        <v>29</v>
      </c>
      <c r="C246" t="s">
        <v>29</v>
      </c>
      <c r="D246" t="s">
        <v>60</v>
      </c>
      <c r="E246">
        <v>15</v>
      </c>
      <c r="F246">
        <v>20</v>
      </c>
      <c r="G246" t="s">
        <v>68</v>
      </c>
      <c r="H246" t="s">
        <v>46</v>
      </c>
      <c r="I246" s="24">
        <v>46038</v>
      </c>
      <c r="J246" t="s">
        <v>117</v>
      </c>
      <c r="K246" t="s">
        <v>117</v>
      </c>
      <c r="L246" t="s">
        <v>117</v>
      </c>
      <c r="M246">
        <v>4.9999999999999982</v>
      </c>
      <c r="N246">
        <v>74.999999999999972</v>
      </c>
      <c r="O246">
        <v>2.8571428571428572</v>
      </c>
      <c r="P246">
        <v>0</v>
      </c>
    </row>
    <row r="247" spans="1:16" x14ac:dyDescent="0.45">
      <c r="A247" t="s">
        <v>61</v>
      </c>
      <c r="B247" t="s">
        <v>29</v>
      </c>
      <c r="C247" t="s">
        <v>29</v>
      </c>
      <c r="D247" t="s">
        <v>60</v>
      </c>
      <c r="E247">
        <v>15</v>
      </c>
      <c r="F247">
        <v>20</v>
      </c>
      <c r="G247" t="s">
        <v>68</v>
      </c>
      <c r="H247" t="s">
        <v>46</v>
      </c>
      <c r="I247" s="24">
        <v>46038</v>
      </c>
      <c r="J247" t="s">
        <v>117</v>
      </c>
      <c r="K247" t="s">
        <v>117</v>
      </c>
      <c r="L247" t="s">
        <v>117</v>
      </c>
      <c r="M247">
        <v>4.9999999999999982</v>
      </c>
      <c r="N247">
        <v>74.999999999999972</v>
      </c>
      <c r="O247">
        <v>2.8571428571428572</v>
      </c>
      <c r="P247">
        <v>0</v>
      </c>
    </row>
    <row r="248" spans="1:16" x14ac:dyDescent="0.45">
      <c r="A248" t="s">
        <v>62</v>
      </c>
      <c r="B248" t="s">
        <v>29</v>
      </c>
      <c r="C248" t="s">
        <v>29</v>
      </c>
      <c r="D248" t="s">
        <v>60</v>
      </c>
      <c r="E248">
        <v>15</v>
      </c>
      <c r="F248">
        <v>20</v>
      </c>
      <c r="G248" t="s">
        <v>68</v>
      </c>
      <c r="H248" t="s">
        <v>39</v>
      </c>
      <c r="I248" s="24">
        <v>46038</v>
      </c>
      <c r="J248" t="s">
        <v>117</v>
      </c>
      <c r="K248" t="s">
        <v>117</v>
      </c>
      <c r="L248" t="s">
        <v>117</v>
      </c>
      <c r="M248">
        <v>4.9999999999999982</v>
      </c>
      <c r="N248">
        <v>74.999999999999972</v>
      </c>
      <c r="O248">
        <v>2.8571428571428572</v>
      </c>
      <c r="P248">
        <v>0</v>
      </c>
    </row>
    <row r="249" spans="1:16" x14ac:dyDescent="0.45">
      <c r="A249" t="s">
        <v>48</v>
      </c>
      <c r="B249" t="s">
        <v>30</v>
      </c>
      <c r="C249" t="s">
        <v>28</v>
      </c>
      <c r="D249" t="s">
        <v>49</v>
      </c>
      <c r="E249">
        <v>30</v>
      </c>
      <c r="F249">
        <v>40</v>
      </c>
      <c r="G249" t="s">
        <v>69</v>
      </c>
      <c r="H249" t="s">
        <v>37</v>
      </c>
      <c r="I249" s="24">
        <v>46039</v>
      </c>
      <c r="J249" t="s">
        <v>118</v>
      </c>
      <c r="K249" t="s">
        <v>117</v>
      </c>
      <c r="L249" t="s">
        <v>118</v>
      </c>
      <c r="M249">
        <v>7</v>
      </c>
      <c r="N249">
        <v>315</v>
      </c>
      <c r="O249">
        <v>5.7142857142857144</v>
      </c>
      <c r="P249">
        <v>1</v>
      </c>
    </row>
    <row r="250" spans="1:16" x14ac:dyDescent="0.45">
      <c r="A250" t="s">
        <v>50</v>
      </c>
      <c r="B250" t="s">
        <v>27</v>
      </c>
      <c r="C250" t="s">
        <v>28</v>
      </c>
      <c r="D250" t="s">
        <v>49</v>
      </c>
      <c r="E250">
        <v>25</v>
      </c>
      <c r="F250">
        <v>40</v>
      </c>
      <c r="G250" t="s">
        <v>69</v>
      </c>
      <c r="H250" t="s">
        <v>40</v>
      </c>
      <c r="I250" s="24">
        <v>46039</v>
      </c>
      <c r="J250" t="s">
        <v>118</v>
      </c>
      <c r="K250" t="s">
        <v>117</v>
      </c>
      <c r="L250" t="s">
        <v>118</v>
      </c>
      <c r="M250">
        <v>5</v>
      </c>
      <c r="N250">
        <v>187.5</v>
      </c>
      <c r="O250">
        <v>5.7142857142857144</v>
      </c>
      <c r="P250">
        <v>1</v>
      </c>
    </row>
    <row r="251" spans="1:16" x14ac:dyDescent="0.45">
      <c r="A251" t="s">
        <v>51</v>
      </c>
      <c r="B251" t="s">
        <v>27</v>
      </c>
      <c r="C251" t="s">
        <v>28</v>
      </c>
      <c r="D251" t="s">
        <v>49</v>
      </c>
      <c r="E251">
        <v>25</v>
      </c>
      <c r="F251">
        <v>40</v>
      </c>
      <c r="G251" t="s">
        <v>69</v>
      </c>
      <c r="H251" t="s">
        <v>35</v>
      </c>
      <c r="I251" s="24">
        <v>46039</v>
      </c>
      <c r="J251" t="s">
        <v>118</v>
      </c>
      <c r="K251" t="s">
        <v>117</v>
      </c>
      <c r="L251" t="s">
        <v>118</v>
      </c>
      <c r="M251">
        <v>7</v>
      </c>
      <c r="N251">
        <v>262.5</v>
      </c>
      <c r="O251">
        <v>5.7142857142857144</v>
      </c>
      <c r="P251">
        <v>1</v>
      </c>
    </row>
    <row r="252" spans="1:16" x14ac:dyDescent="0.45">
      <c r="A252" t="s">
        <v>52</v>
      </c>
      <c r="B252" t="s">
        <v>26</v>
      </c>
      <c r="C252" t="s">
        <v>26</v>
      </c>
      <c r="D252" t="s">
        <v>49</v>
      </c>
      <c r="E252">
        <v>35</v>
      </c>
      <c r="F252">
        <v>40</v>
      </c>
      <c r="G252" t="s">
        <v>69</v>
      </c>
      <c r="H252" t="s">
        <v>41</v>
      </c>
      <c r="I252" s="24">
        <v>46039</v>
      </c>
      <c r="J252" t="s">
        <v>118</v>
      </c>
      <c r="K252" t="s">
        <v>117</v>
      </c>
      <c r="L252" t="s">
        <v>118</v>
      </c>
      <c r="M252">
        <v>0</v>
      </c>
      <c r="N252">
        <v>0</v>
      </c>
      <c r="O252">
        <v>5.7142857142857144</v>
      </c>
      <c r="P252">
        <v>0</v>
      </c>
    </row>
    <row r="253" spans="1:16" x14ac:dyDescent="0.45">
      <c r="A253" t="s">
        <v>53</v>
      </c>
      <c r="B253" t="s">
        <v>26</v>
      </c>
      <c r="C253" t="s">
        <v>26</v>
      </c>
      <c r="D253" t="s">
        <v>49</v>
      </c>
      <c r="E253">
        <v>35</v>
      </c>
      <c r="F253">
        <v>40</v>
      </c>
      <c r="G253" t="s">
        <v>69</v>
      </c>
      <c r="H253" t="s">
        <v>42</v>
      </c>
      <c r="I253" s="24">
        <v>46039</v>
      </c>
      <c r="J253" t="s">
        <v>118</v>
      </c>
      <c r="K253" t="s">
        <v>117</v>
      </c>
      <c r="L253" t="s">
        <v>118</v>
      </c>
      <c r="M253">
        <v>7.9999999999999982</v>
      </c>
      <c r="N253">
        <v>419.99999999999989</v>
      </c>
      <c r="O253">
        <v>5.7142857142857144</v>
      </c>
      <c r="P253">
        <v>1</v>
      </c>
    </row>
    <row r="254" spans="1:16" x14ac:dyDescent="0.45">
      <c r="A254" t="s">
        <v>54</v>
      </c>
      <c r="B254" t="s">
        <v>25</v>
      </c>
      <c r="C254" t="s">
        <v>26</v>
      </c>
      <c r="D254" t="s">
        <v>49</v>
      </c>
      <c r="E254">
        <v>28</v>
      </c>
      <c r="F254">
        <v>40</v>
      </c>
      <c r="G254" t="s">
        <v>69</v>
      </c>
      <c r="H254" t="s">
        <v>44</v>
      </c>
      <c r="I254" s="24">
        <v>46039</v>
      </c>
      <c r="J254" t="s">
        <v>118</v>
      </c>
      <c r="K254" t="s">
        <v>117</v>
      </c>
      <c r="L254" t="s">
        <v>118</v>
      </c>
      <c r="M254">
        <v>8</v>
      </c>
      <c r="N254">
        <v>336</v>
      </c>
      <c r="O254">
        <v>5.7142857142857144</v>
      </c>
      <c r="P254">
        <v>1</v>
      </c>
    </row>
    <row r="255" spans="1:16" x14ac:dyDescent="0.45">
      <c r="A255" t="s">
        <v>55</v>
      </c>
      <c r="B255" t="s">
        <v>25</v>
      </c>
      <c r="C255" t="s">
        <v>26</v>
      </c>
      <c r="D255" t="s">
        <v>49</v>
      </c>
      <c r="E255">
        <v>28</v>
      </c>
      <c r="F255">
        <v>40</v>
      </c>
      <c r="G255" t="s">
        <v>69</v>
      </c>
      <c r="H255" t="s">
        <v>41</v>
      </c>
      <c r="I255" s="24">
        <v>46039</v>
      </c>
      <c r="J255" t="s">
        <v>118</v>
      </c>
      <c r="K255" t="s">
        <v>117</v>
      </c>
      <c r="L255" t="s">
        <v>118</v>
      </c>
      <c r="M255">
        <v>0</v>
      </c>
      <c r="N255">
        <v>0</v>
      </c>
      <c r="O255">
        <v>5.7142857142857144</v>
      </c>
      <c r="P255">
        <v>0</v>
      </c>
    </row>
    <row r="256" spans="1:16" x14ac:dyDescent="0.45">
      <c r="A256" t="s">
        <v>56</v>
      </c>
      <c r="B256" t="s">
        <v>29</v>
      </c>
      <c r="C256" t="s">
        <v>29</v>
      </c>
      <c r="D256" t="s">
        <v>49</v>
      </c>
      <c r="E256">
        <v>20</v>
      </c>
      <c r="F256">
        <v>40</v>
      </c>
      <c r="G256" t="s">
        <v>69</v>
      </c>
      <c r="H256" t="s">
        <v>45</v>
      </c>
      <c r="I256" s="24">
        <v>46039</v>
      </c>
      <c r="J256" t="s">
        <v>118</v>
      </c>
      <c r="K256" t="s">
        <v>117</v>
      </c>
      <c r="L256" t="s">
        <v>118</v>
      </c>
      <c r="M256">
        <v>7.9999999999999982</v>
      </c>
      <c r="N256">
        <v>239.99999999999994</v>
      </c>
      <c r="O256">
        <v>5.7142857142857144</v>
      </c>
      <c r="P256">
        <v>1</v>
      </c>
    </row>
    <row r="257" spans="1:16" x14ac:dyDescent="0.45">
      <c r="A257" t="s">
        <v>57</v>
      </c>
      <c r="B257" t="s">
        <v>29</v>
      </c>
      <c r="C257" t="s">
        <v>29</v>
      </c>
      <c r="D257" t="s">
        <v>49</v>
      </c>
      <c r="E257">
        <v>20</v>
      </c>
      <c r="F257">
        <v>40</v>
      </c>
      <c r="G257" t="s">
        <v>69</v>
      </c>
      <c r="H257" t="s">
        <v>41</v>
      </c>
      <c r="I257" s="24">
        <v>46039</v>
      </c>
      <c r="J257" t="s">
        <v>118</v>
      </c>
      <c r="K257" t="s">
        <v>117</v>
      </c>
      <c r="L257" t="s">
        <v>118</v>
      </c>
      <c r="M257">
        <v>0</v>
      </c>
      <c r="N257">
        <v>0</v>
      </c>
      <c r="O257">
        <v>5.7142857142857144</v>
      </c>
      <c r="P257">
        <v>0</v>
      </c>
    </row>
    <row r="258" spans="1:16" x14ac:dyDescent="0.45">
      <c r="A258" t="s">
        <v>58</v>
      </c>
      <c r="B258" t="s">
        <v>29</v>
      </c>
      <c r="C258" t="s">
        <v>29</v>
      </c>
      <c r="D258" t="s">
        <v>49</v>
      </c>
      <c r="E258">
        <v>20</v>
      </c>
      <c r="F258">
        <v>40</v>
      </c>
      <c r="G258" t="s">
        <v>69</v>
      </c>
      <c r="H258" t="s">
        <v>44</v>
      </c>
      <c r="I258" s="24">
        <v>46039</v>
      </c>
      <c r="J258" t="s">
        <v>118</v>
      </c>
      <c r="K258" t="s">
        <v>117</v>
      </c>
      <c r="L258" t="s">
        <v>118</v>
      </c>
      <c r="M258">
        <v>8</v>
      </c>
      <c r="N258">
        <v>240</v>
      </c>
      <c r="O258">
        <v>5.7142857142857144</v>
      </c>
      <c r="P258">
        <v>1</v>
      </c>
    </row>
    <row r="259" spans="1:16" x14ac:dyDescent="0.45">
      <c r="A259" t="s">
        <v>59</v>
      </c>
      <c r="B259" t="s">
        <v>29</v>
      </c>
      <c r="C259" t="s">
        <v>29</v>
      </c>
      <c r="D259" t="s">
        <v>60</v>
      </c>
      <c r="E259">
        <v>15</v>
      </c>
      <c r="F259">
        <v>20</v>
      </c>
      <c r="G259" t="s">
        <v>69</v>
      </c>
      <c r="H259" t="s">
        <v>41</v>
      </c>
      <c r="I259" s="24">
        <v>46039</v>
      </c>
      <c r="J259" t="s">
        <v>118</v>
      </c>
      <c r="K259" t="s">
        <v>117</v>
      </c>
      <c r="L259" t="s">
        <v>118</v>
      </c>
      <c r="M259">
        <v>0</v>
      </c>
      <c r="N259">
        <v>0</v>
      </c>
      <c r="O259">
        <v>2.8571428571428572</v>
      </c>
      <c r="P259">
        <v>0</v>
      </c>
    </row>
    <row r="260" spans="1:16" x14ac:dyDescent="0.45">
      <c r="A260" t="s">
        <v>61</v>
      </c>
      <c r="B260" t="s">
        <v>29</v>
      </c>
      <c r="C260" t="s">
        <v>29</v>
      </c>
      <c r="D260" t="s">
        <v>60</v>
      </c>
      <c r="E260">
        <v>15</v>
      </c>
      <c r="F260">
        <v>20</v>
      </c>
      <c r="G260" t="s">
        <v>69</v>
      </c>
      <c r="H260" t="s">
        <v>41</v>
      </c>
      <c r="I260" s="24">
        <v>46039</v>
      </c>
      <c r="J260" t="s">
        <v>118</v>
      </c>
      <c r="K260" t="s">
        <v>117</v>
      </c>
      <c r="L260" t="s">
        <v>118</v>
      </c>
      <c r="M260">
        <v>0</v>
      </c>
      <c r="N260">
        <v>0</v>
      </c>
      <c r="O260">
        <v>2.8571428571428572</v>
      </c>
      <c r="P260">
        <v>0</v>
      </c>
    </row>
    <row r="261" spans="1:16" x14ac:dyDescent="0.45">
      <c r="A261" t="s">
        <v>62</v>
      </c>
      <c r="B261" t="s">
        <v>29</v>
      </c>
      <c r="C261" t="s">
        <v>29</v>
      </c>
      <c r="D261" t="s">
        <v>60</v>
      </c>
      <c r="E261">
        <v>15</v>
      </c>
      <c r="F261">
        <v>20</v>
      </c>
      <c r="G261" t="s">
        <v>69</v>
      </c>
      <c r="H261" t="s">
        <v>40</v>
      </c>
      <c r="I261" s="24">
        <v>46039</v>
      </c>
      <c r="J261" t="s">
        <v>118</v>
      </c>
      <c r="K261" t="s">
        <v>117</v>
      </c>
      <c r="L261" t="s">
        <v>118</v>
      </c>
      <c r="M261">
        <v>5</v>
      </c>
      <c r="N261">
        <v>112.5</v>
      </c>
      <c r="O261">
        <v>2.8571428571428572</v>
      </c>
      <c r="P261">
        <v>1</v>
      </c>
    </row>
    <row r="262" spans="1:16" x14ac:dyDescent="0.45">
      <c r="A262" t="s">
        <v>48</v>
      </c>
      <c r="B262" t="s">
        <v>30</v>
      </c>
      <c r="C262" t="s">
        <v>28</v>
      </c>
      <c r="D262" t="s">
        <v>49</v>
      </c>
      <c r="E262">
        <v>30</v>
      </c>
      <c r="F262">
        <v>40</v>
      </c>
      <c r="G262" t="s">
        <v>70</v>
      </c>
      <c r="H262" t="s">
        <v>41</v>
      </c>
      <c r="I262" s="24">
        <v>46040</v>
      </c>
      <c r="J262" t="s">
        <v>118</v>
      </c>
      <c r="K262" t="s">
        <v>117</v>
      </c>
      <c r="L262" t="s">
        <v>118</v>
      </c>
      <c r="M262">
        <v>0</v>
      </c>
      <c r="N262">
        <v>0</v>
      </c>
      <c r="O262">
        <v>5.7142857142857144</v>
      </c>
      <c r="P262">
        <v>0</v>
      </c>
    </row>
    <row r="263" spans="1:16" x14ac:dyDescent="0.45">
      <c r="A263" t="s">
        <v>50</v>
      </c>
      <c r="B263" t="s">
        <v>27</v>
      </c>
      <c r="C263" t="s">
        <v>28</v>
      </c>
      <c r="D263" t="s">
        <v>49</v>
      </c>
      <c r="E263">
        <v>25</v>
      </c>
      <c r="F263">
        <v>40</v>
      </c>
      <c r="G263" t="s">
        <v>70</v>
      </c>
      <c r="H263" t="s">
        <v>37</v>
      </c>
      <c r="I263" s="24">
        <v>46040</v>
      </c>
      <c r="J263" t="s">
        <v>118</v>
      </c>
      <c r="K263" t="s">
        <v>117</v>
      </c>
      <c r="L263" t="s">
        <v>118</v>
      </c>
      <c r="M263">
        <v>7</v>
      </c>
      <c r="N263">
        <v>262.5</v>
      </c>
      <c r="O263">
        <v>5.7142857142857144</v>
      </c>
      <c r="P263">
        <v>1</v>
      </c>
    </row>
    <row r="264" spans="1:16" x14ac:dyDescent="0.45">
      <c r="A264" t="s">
        <v>51</v>
      </c>
      <c r="B264" t="s">
        <v>27</v>
      </c>
      <c r="C264" t="s">
        <v>28</v>
      </c>
      <c r="D264" t="s">
        <v>49</v>
      </c>
      <c r="E264">
        <v>25</v>
      </c>
      <c r="F264">
        <v>40</v>
      </c>
      <c r="G264" t="s">
        <v>70</v>
      </c>
      <c r="H264" t="s">
        <v>35</v>
      </c>
      <c r="I264" s="24">
        <v>46040</v>
      </c>
      <c r="J264" t="s">
        <v>118</v>
      </c>
      <c r="K264" t="s">
        <v>117</v>
      </c>
      <c r="L264" t="s">
        <v>118</v>
      </c>
      <c r="M264">
        <v>7</v>
      </c>
      <c r="N264">
        <v>262.5</v>
      </c>
      <c r="O264">
        <v>5.7142857142857144</v>
      </c>
      <c r="P264">
        <v>1</v>
      </c>
    </row>
    <row r="265" spans="1:16" x14ac:dyDescent="0.45">
      <c r="A265" t="s">
        <v>52</v>
      </c>
      <c r="B265" t="s">
        <v>26</v>
      </c>
      <c r="C265" t="s">
        <v>26</v>
      </c>
      <c r="D265" t="s">
        <v>49</v>
      </c>
      <c r="E265">
        <v>35</v>
      </c>
      <c r="F265">
        <v>40</v>
      </c>
      <c r="G265" t="s">
        <v>70</v>
      </c>
      <c r="H265" t="s">
        <v>41</v>
      </c>
      <c r="I265" s="24">
        <v>46040</v>
      </c>
      <c r="J265" t="s">
        <v>118</v>
      </c>
      <c r="K265" t="s">
        <v>117</v>
      </c>
      <c r="L265" t="s">
        <v>118</v>
      </c>
      <c r="M265">
        <v>0</v>
      </c>
      <c r="N265">
        <v>0</v>
      </c>
      <c r="O265">
        <v>5.7142857142857144</v>
      </c>
      <c r="P265">
        <v>0</v>
      </c>
    </row>
    <row r="266" spans="1:16" x14ac:dyDescent="0.45">
      <c r="A266" t="s">
        <v>53</v>
      </c>
      <c r="B266" t="s">
        <v>26</v>
      </c>
      <c r="C266" t="s">
        <v>26</v>
      </c>
      <c r="D266" t="s">
        <v>49</v>
      </c>
      <c r="E266">
        <v>35</v>
      </c>
      <c r="F266">
        <v>40</v>
      </c>
      <c r="G266" t="s">
        <v>70</v>
      </c>
      <c r="H266" t="s">
        <v>42</v>
      </c>
      <c r="I266" s="24">
        <v>46040</v>
      </c>
      <c r="J266" t="s">
        <v>118</v>
      </c>
      <c r="K266" t="s">
        <v>117</v>
      </c>
      <c r="L266" t="s">
        <v>118</v>
      </c>
      <c r="M266">
        <v>7.9999999999999982</v>
      </c>
      <c r="N266">
        <v>419.99999999999989</v>
      </c>
      <c r="O266">
        <v>5.7142857142857144</v>
      </c>
      <c r="P266">
        <v>1</v>
      </c>
    </row>
    <row r="267" spans="1:16" x14ac:dyDescent="0.45">
      <c r="A267" t="s">
        <v>54</v>
      </c>
      <c r="B267" t="s">
        <v>25</v>
      </c>
      <c r="C267" t="s">
        <v>26</v>
      </c>
      <c r="D267" t="s">
        <v>49</v>
      </c>
      <c r="E267">
        <v>28</v>
      </c>
      <c r="F267">
        <v>40</v>
      </c>
      <c r="G267" t="s">
        <v>70</v>
      </c>
      <c r="H267" t="s">
        <v>44</v>
      </c>
      <c r="I267" s="24">
        <v>46040</v>
      </c>
      <c r="J267" t="s">
        <v>118</v>
      </c>
      <c r="K267" t="s">
        <v>117</v>
      </c>
      <c r="L267" t="s">
        <v>118</v>
      </c>
      <c r="M267">
        <v>8</v>
      </c>
      <c r="N267">
        <v>336</v>
      </c>
      <c r="O267">
        <v>5.7142857142857144</v>
      </c>
      <c r="P267">
        <v>1</v>
      </c>
    </row>
    <row r="268" spans="1:16" x14ac:dyDescent="0.45">
      <c r="A268" t="s">
        <v>55</v>
      </c>
      <c r="B268" t="s">
        <v>25</v>
      </c>
      <c r="C268" t="s">
        <v>26</v>
      </c>
      <c r="D268" t="s">
        <v>49</v>
      </c>
      <c r="E268">
        <v>28</v>
      </c>
      <c r="F268">
        <v>40</v>
      </c>
      <c r="G268" t="s">
        <v>70</v>
      </c>
      <c r="H268" t="s">
        <v>41</v>
      </c>
      <c r="I268" s="24">
        <v>46040</v>
      </c>
      <c r="J268" t="s">
        <v>118</v>
      </c>
      <c r="K268" t="s">
        <v>117</v>
      </c>
      <c r="L268" t="s">
        <v>118</v>
      </c>
      <c r="M268">
        <v>0</v>
      </c>
      <c r="N268">
        <v>0</v>
      </c>
      <c r="O268">
        <v>5.7142857142857144</v>
      </c>
      <c r="P268">
        <v>0</v>
      </c>
    </row>
    <row r="269" spans="1:16" x14ac:dyDescent="0.45">
      <c r="A269" t="s">
        <v>56</v>
      </c>
      <c r="B269" t="s">
        <v>29</v>
      </c>
      <c r="C269" t="s">
        <v>29</v>
      </c>
      <c r="D269" t="s">
        <v>49</v>
      </c>
      <c r="E269">
        <v>20</v>
      </c>
      <c r="F269">
        <v>40</v>
      </c>
      <c r="G269" t="s">
        <v>70</v>
      </c>
      <c r="H269" t="s">
        <v>45</v>
      </c>
      <c r="I269" s="24">
        <v>46040</v>
      </c>
      <c r="J269" t="s">
        <v>118</v>
      </c>
      <c r="K269" t="s">
        <v>117</v>
      </c>
      <c r="L269" t="s">
        <v>118</v>
      </c>
      <c r="M269">
        <v>7.9999999999999982</v>
      </c>
      <c r="N269">
        <v>239.99999999999994</v>
      </c>
      <c r="O269">
        <v>5.7142857142857144</v>
      </c>
      <c r="P269">
        <v>1</v>
      </c>
    </row>
    <row r="270" spans="1:16" x14ac:dyDescent="0.45">
      <c r="A270" t="s">
        <v>57</v>
      </c>
      <c r="B270" t="s">
        <v>29</v>
      </c>
      <c r="C270" t="s">
        <v>29</v>
      </c>
      <c r="D270" t="s">
        <v>49</v>
      </c>
      <c r="E270">
        <v>20</v>
      </c>
      <c r="F270">
        <v>40</v>
      </c>
      <c r="G270" t="s">
        <v>70</v>
      </c>
      <c r="H270" t="s">
        <v>41</v>
      </c>
      <c r="I270" s="24">
        <v>46040</v>
      </c>
      <c r="J270" t="s">
        <v>118</v>
      </c>
      <c r="K270" t="s">
        <v>117</v>
      </c>
      <c r="L270" t="s">
        <v>118</v>
      </c>
      <c r="M270">
        <v>0</v>
      </c>
      <c r="N270">
        <v>0</v>
      </c>
      <c r="O270">
        <v>5.7142857142857144</v>
      </c>
      <c r="P270">
        <v>0</v>
      </c>
    </row>
    <row r="271" spans="1:16" x14ac:dyDescent="0.45">
      <c r="A271" t="s">
        <v>58</v>
      </c>
      <c r="B271" t="s">
        <v>29</v>
      </c>
      <c r="C271" t="s">
        <v>29</v>
      </c>
      <c r="D271" t="s">
        <v>49</v>
      </c>
      <c r="E271">
        <v>20</v>
      </c>
      <c r="F271">
        <v>40</v>
      </c>
      <c r="G271" t="s">
        <v>70</v>
      </c>
      <c r="H271" t="s">
        <v>44</v>
      </c>
      <c r="I271" s="24">
        <v>46040</v>
      </c>
      <c r="J271" t="s">
        <v>118</v>
      </c>
      <c r="K271" t="s">
        <v>117</v>
      </c>
      <c r="L271" t="s">
        <v>118</v>
      </c>
      <c r="M271">
        <v>8</v>
      </c>
      <c r="N271">
        <v>240</v>
      </c>
      <c r="O271">
        <v>5.7142857142857144</v>
      </c>
      <c r="P271">
        <v>1</v>
      </c>
    </row>
    <row r="272" spans="1:16" x14ac:dyDescent="0.45">
      <c r="A272" t="s">
        <v>59</v>
      </c>
      <c r="B272" t="s">
        <v>29</v>
      </c>
      <c r="C272" t="s">
        <v>29</v>
      </c>
      <c r="D272" t="s">
        <v>60</v>
      </c>
      <c r="E272">
        <v>15</v>
      </c>
      <c r="F272">
        <v>20</v>
      </c>
      <c r="G272" t="s">
        <v>70</v>
      </c>
      <c r="H272" t="s">
        <v>41</v>
      </c>
      <c r="I272" s="24">
        <v>46040</v>
      </c>
      <c r="J272" t="s">
        <v>118</v>
      </c>
      <c r="K272" t="s">
        <v>117</v>
      </c>
      <c r="L272" t="s">
        <v>118</v>
      </c>
      <c r="M272">
        <v>0</v>
      </c>
      <c r="N272">
        <v>0</v>
      </c>
      <c r="O272">
        <v>2.8571428571428572</v>
      </c>
      <c r="P272">
        <v>0</v>
      </c>
    </row>
    <row r="273" spans="1:16" x14ac:dyDescent="0.45">
      <c r="A273" t="s">
        <v>61</v>
      </c>
      <c r="B273" t="s">
        <v>29</v>
      </c>
      <c r="C273" t="s">
        <v>29</v>
      </c>
      <c r="D273" t="s">
        <v>60</v>
      </c>
      <c r="E273">
        <v>15</v>
      </c>
      <c r="F273">
        <v>20</v>
      </c>
      <c r="G273" t="s">
        <v>70</v>
      </c>
      <c r="H273" t="s">
        <v>41</v>
      </c>
      <c r="I273" s="24">
        <v>46040</v>
      </c>
      <c r="J273" t="s">
        <v>118</v>
      </c>
      <c r="K273" t="s">
        <v>117</v>
      </c>
      <c r="L273" t="s">
        <v>118</v>
      </c>
      <c r="M273">
        <v>0</v>
      </c>
      <c r="N273">
        <v>0</v>
      </c>
      <c r="O273">
        <v>2.8571428571428572</v>
      </c>
      <c r="P273">
        <v>0</v>
      </c>
    </row>
    <row r="274" spans="1:16" x14ac:dyDescent="0.45">
      <c r="A274" t="s">
        <v>62</v>
      </c>
      <c r="B274" t="s">
        <v>29</v>
      </c>
      <c r="C274" t="s">
        <v>29</v>
      </c>
      <c r="D274" t="s">
        <v>60</v>
      </c>
      <c r="E274">
        <v>15</v>
      </c>
      <c r="F274">
        <v>20</v>
      </c>
      <c r="G274" t="s">
        <v>70</v>
      </c>
      <c r="H274" t="s">
        <v>46</v>
      </c>
      <c r="I274" s="24">
        <v>46040</v>
      </c>
      <c r="J274" t="s">
        <v>118</v>
      </c>
      <c r="K274" t="s">
        <v>117</v>
      </c>
      <c r="L274" t="s">
        <v>118</v>
      </c>
      <c r="M274">
        <v>4.9999999999999982</v>
      </c>
      <c r="N274">
        <v>112.49999999999996</v>
      </c>
      <c r="O274">
        <v>2.8571428571428572</v>
      </c>
      <c r="P274">
        <v>1</v>
      </c>
    </row>
    <row r="275" spans="1:16" x14ac:dyDescent="0.45">
      <c r="A275" t="s">
        <v>48</v>
      </c>
      <c r="B275" t="s">
        <v>30</v>
      </c>
      <c r="C275" t="s">
        <v>28</v>
      </c>
      <c r="D275" t="s">
        <v>49</v>
      </c>
      <c r="E275">
        <v>30</v>
      </c>
      <c r="F275">
        <v>40</v>
      </c>
      <c r="G275" t="s">
        <v>64</v>
      </c>
      <c r="H275" t="s">
        <v>35</v>
      </c>
      <c r="I275" s="24">
        <v>46041</v>
      </c>
      <c r="J275" t="s">
        <v>117</v>
      </c>
      <c r="K275" t="s">
        <v>117</v>
      </c>
      <c r="L275" t="s">
        <v>117</v>
      </c>
      <c r="M275">
        <v>7</v>
      </c>
      <c r="N275">
        <v>210</v>
      </c>
      <c r="O275">
        <v>5.7142857142857144</v>
      </c>
      <c r="P275">
        <v>0</v>
      </c>
    </row>
    <row r="276" spans="1:16" x14ac:dyDescent="0.45">
      <c r="A276" t="s">
        <v>50</v>
      </c>
      <c r="B276" t="s">
        <v>27</v>
      </c>
      <c r="C276" t="s">
        <v>28</v>
      </c>
      <c r="D276" t="s">
        <v>49</v>
      </c>
      <c r="E276">
        <v>25</v>
      </c>
      <c r="F276">
        <v>40</v>
      </c>
      <c r="G276" t="s">
        <v>64</v>
      </c>
      <c r="H276" t="s">
        <v>37</v>
      </c>
      <c r="I276" s="24">
        <v>46041</v>
      </c>
      <c r="J276" t="s">
        <v>117</v>
      </c>
      <c r="K276" t="s">
        <v>117</v>
      </c>
      <c r="L276" t="s">
        <v>117</v>
      </c>
      <c r="M276">
        <v>7</v>
      </c>
      <c r="N276">
        <v>175</v>
      </c>
      <c r="O276">
        <v>5.7142857142857144</v>
      </c>
      <c r="P276">
        <v>0</v>
      </c>
    </row>
    <row r="277" spans="1:16" x14ac:dyDescent="0.45">
      <c r="A277" t="s">
        <v>51</v>
      </c>
      <c r="B277" t="s">
        <v>27</v>
      </c>
      <c r="C277" t="s">
        <v>28</v>
      </c>
      <c r="D277" t="s">
        <v>49</v>
      </c>
      <c r="E277">
        <v>25</v>
      </c>
      <c r="F277">
        <v>40</v>
      </c>
      <c r="G277" t="s">
        <v>64</v>
      </c>
      <c r="H277" t="s">
        <v>41</v>
      </c>
      <c r="I277" s="24">
        <v>46041</v>
      </c>
      <c r="J277" t="s">
        <v>117</v>
      </c>
      <c r="K277" t="s">
        <v>117</v>
      </c>
      <c r="L277" t="s">
        <v>117</v>
      </c>
      <c r="M277">
        <v>0</v>
      </c>
      <c r="N277">
        <v>0</v>
      </c>
      <c r="O277">
        <v>5.7142857142857144</v>
      </c>
      <c r="P277">
        <v>0</v>
      </c>
    </row>
    <row r="278" spans="1:16" x14ac:dyDescent="0.45">
      <c r="A278" t="s">
        <v>52</v>
      </c>
      <c r="B278" t="s">
        <v>26</v>
      </c>
      <c r="C278" t="s">
        <v>26</v>
      </c>
      <c r="D278" t="s">
        <v>49</v>
      </c>
      <c r="E278">
        <v>35</v>
      </c>
      <c r="F278">
        <v>40</v>
      </c>
      <c r="G278" t="s">
        <v>64</v>
      </c>
      <c r="H278" t="s">
        <v>42</v>
      </c>
      <c r="I278" s="24">
        <v>46041</v>
      </c>
      <c r="J278" t="s">
        <v>117</v>
      </c>
      <c r="K278" t="s">
        <v>117</v>
      </c>
      <c r="L278" t="s">
        <v>117</v>
      </c>
      <c r="M278">
        <v>7.9999999999999982</v>
      </c>
      <c r="N278">
        <v>279.99999999999994</v>
      </c>
      <c r="O278">
        <v>5.7142857142857144</v>
      </c>
      <c r="P278">
        <v>0</v>
      </c>
    </row>
    <row r="279" spans="1:16" x14ac:dyDescent="0.45">
      <c r="A279" t="s">
        <v>53</v>
      </c>
      <c r="B279" t="s">
        <v>26</v>
      </c>
      <c r="C279" t="s">
        <v>26</v>
      </c>
      <c r="D279" t="s">
        <v>49</v>
      </c>
      <c r="E279">
        <v>35</v>
      </c>
      <c r="F279">
        <v>40</v>
      </c>
      <c r="G279" t="s">
        <v>64</v>
      </c>
      <c r="H279" t="s">
        <v>44</v>
      </c>
      <c r="I279" s="24">
        <v>46041</v>
      </c>
      <c r="J279" t="s">
        <v>117</v>
      </c>
      <c r="K279" t="s">
        <v>117</v>
      </c>
      <c r="L279" t="s">
        <v>117</v>
      </c>
      <c r="M279">
        <v>8</v>
      </c>
      <c r="N279">
        <v>280</v>
      </c>
      <c r="O279">
        <v>5.7142857142857144</v>
      </c>
      <c r="P279">
        <v>0</v>
      </c>
    </row>
    <row r="280" spans="1:16" x14ac:dyDescent="0.45">
      <c r="A280" t="s">
        <v>54</v>
      </c>
      <c r="B280" t="s">
        <v>25</v>
      </c>
      <c r="C280" t="s">
        <v>26</v>
      </c>
      <c r="D280" t="s">
        <v>49</v>
      </c>
      <c r="E280">
        <v>28</v>
      </c>
      <c r="F280">
        <v>40</v>
      </c>
      <c r="G280" t="s">
        <v>64</v>
      </c>
      <c r="H280" t="s">
        <v>41</v>
      </c>
      <c r="I280" s="24">
        <v>46041</v>
      </c>
      <c r="J280" t="s">
        <v>117</v>
      </c>
      <c r="K280" t="s">
        <v>117</v>
      </c>
      <c r="L280" t="s">
        <v>117</v>
      </c>
      <c r="M280">
        <v>0</v>
      </c>
      <c r="N280">
        <v>0</v>
      </c>
      <c r="O280">
        <v>5.7142857142857144</v>
      </c>
      <c r="P280">
        <v>0</v>
      </c>
    </row>
    <row r="281" spans="1:16" x14ac:dyDescent="0.45">
      <c r="A281" t="s">
        <v>55</v>
      </c>
      <c r="B281" t="s">
        <v>25</v>
      </c>
      <c r="C281" t="s">
        <v>26</v>
      </c>
      <c r="D281" t="s">
        <v>49</v>
      </c>
      <c r="E281">
        <v>28</v>
      </c>
      <c r="F281">
        <v>40</v>
      </c>
      <c r="G281" t="s">
        <v>64</v>
      </c>
      <c r="H281" t="s">
        <v>44</v>
      </c>
      <c r="I281" s="24">
        <v>46041</v>
      </c>
      <c r="J281" t="s">
        <v>117</v>
      </c>
      <c r="K281" t="s">
        <v>117</v>
      </c>
      <c r="L281" t="s">
        <v>117</v>
      </c>
      <c r="M281">
        <v>8</v>
      </c>
      <c r="N281">
        <v>224</v>
      </c>
      <c r="O281">
        <v>5.7142857142857144</v>
      </c>
      <c r="P281">
        <v>0</v>
      </c>
    </row>
    <row r="282" spans="1:16" x14ac:dyDescent="0.45">
      <c r="A282" t="s">
        <v>56</v>
      </c>
      <c r="B282" t="s">
        <v>29</v>
      </c>
      <c r="C282" t="s">
        <v>29</v>
      </c>
      <c r="D282" t="s">
        <v>49</v>
      </c>
      <c r="E282">
        <v>20</v>
      </c>
      <c r="F282">
        <v>40</v>
      </c>
      <c r="G282" t="s">
        <v>64</v>
      </c>
      <c r="H282" t="s">
        <v>45</v>
      </c>
      <c r="I282" s="24">
        <v>46041</v>
      </c>
      <c r="J282" t="s">
        <v>117</v>
      </c>
      <c r="K282" t="s">
        <v>117</v>
      </c>
      <c r="L282" t="s">
        <v>117</v>
      </c>
      <c r="M282">
        <v>7.9999999999999982</v>
      </c>
      <c r="N282">
        <v>159.99999999999997</v>
      </c>
      <c r="O282">
        <v>5.7142857142857144</v>
      </c>
      <c r="P282">
        <v>0</v>
      </c>
    </row>
    <row r="283" spans="1:16" x14ac:dyDescent="0.45">
      <c r="A283" t="s">
        <v>57</v>
      </c>
      <c r="B283" t="s">
        <v>29</v>
      </c>
      <c r="C283" t="s">
        <v>29</v>
      </c>
      <c r="D283" t="s">
        <v>49</v>
      </c>
      <c r="E283">
        <v>20</v>
      </c>
      <c r="F283">
        <v>40</v>
      </c>
      <c r="G283" t="s">
        <v>64</v>
      </c>
      <c r="H283" t="s">
        <v>44</v>
      </c>
      <c r="I283" s="24">
        <v>46041</v>
      </c>
      <c r="J283" t="s">
        <v>117</v>
      </c>
      <c r="K283" t="s">
        <v>117</v>
      </c>
      <c r="L283" t="s">
        <v>117</v>
      </c>
      <c r="M283">
        <v>8</v>
      </c>
      <c r="N283">
        <v>160</v>
      </c>
      <c r="O283">
        <v>5.7142857142857144</v>
      </c>
      <c r="P283">
        <v>0</v>
      </c>
    </row>
    <row r="284" spans="1:16" x14ac:dyDescent="0.45">
      <c r="A284" t="s">
        <v>58</v>
      </c>
      <c r="B284" t="s">
        <v>29</v>
      </c>
      <c r="C284" t="s">
        <v>29</v>
      </c>
      <c r="D284" t="s">
        <v>49</v>
      </c>
      <c r="E284">
        <v>20</v>
      </c>
      <c r="F284">
        <v>40</v>
      </c>
      <c r="G284" t="s">
        <v>64</v>
      </c>
      <c r="H284" t="s">
        <v>41</v>
      </c>
      <c r="I284" s="24">
        <v>46041</v>
      </c>
      <c r="J284" t="s">
        <v>117</v>
      </c>
      <c r="K284" t="s">
        <v>117</v>
      </c>
      <c r="L284" t="s">
        <v>117</v>
      </c>
      <c r="M284">
        <v>0</v>
      </c>
      <c r="N284">
        <v>0</v>
      </c>
      <c r="O284">
        <v>5.7142857142857144</v>
      </c>
      <c r="P284">
        <v>0</v>
      </c>
    </row>
    <row r="285" spans="1:16" x14ac:dyDescent="0.45">
      <c r="A285" t="s">
        <v>59</v>
      </c>
      <c r="B285" t="s">
        <v>29</v>
      </c>
      <c r="C285" t="s">
        <v>29</v>
      </c>
      <c r="D285" t="s">
        <v>60</v>
      </c>
      <c r="E285">
        <v>15</v>
      </c>
      <c r="F285">
        <v>20</v>
      </c>
      <c r="G285" t="s">
        <v>64</v>
      </c>
      <c r="H285" t="s">
        <v>41</v>
      </c>
      <c r="I285" s="24">
        <v>46041</v>
      </c>
      <c r="J285" t="s">
        <v>117</v>
      </c>
      <c r="K285" t="s">
        <v>117</v>
      </c>
      <c r="L285" t="s">
        <v>117</v>
      </c>
      <c r="M285">
        <v>0</v>
      </c>
      <c r="N285">
        <v>0</v>
      </c>
      <c r="O285">
        <v>2.8571428571428572</v>
      </c>
      <c r="P285">
        <v>0</v>
      </c>
    </row>
    <row r="286" spans="1:16" x14ac:dyDescent="0.45">
      <c r="A286" t="s">
        <v>61</v>
      </c>
      <c r="B286" t="s">
        <v>29</v>
      </c>
      <c r="C286" t="s">
        <v>29</v>
      </c>
      <c r="D286" t="s">
        <v>60</v>
      </c>
      <c r="E286">
        <v>15</v>
      </c>
      <c r="F286">
        <v>20</v>
      </c>
      <c r="G286" t="s">
        <v>64</v>
      </c>
      <c r="H286" t="s">
        <v>46</v>
      </c>
      <c r="I286" s="24">
        <v>46041</v>
      </c>
      <c r="J286" t="s">
        <v>117</v>
      </c>
      <c r="K286" t="s">
        <v>117</v>
      </c>
      <c r="L286" t="s">
        <v>117</v>
      </c>
      <c r="M286">
        <v>4.9999999999999982</v>
      </c>
      <c r="N286">
        <v>74.999999999999972</v>
      </c>
      <c r="O286">
        <v>2.8571428571428572</v>
      </c>
      <c r="P286">
        <v>0</v>
      </c>
    </row>
    <row r="287" spans="1:16" x14ac:dyDescent="0.45">
      <c r="A287" t="s">
        <v>62</v>
      </c>
      <c r="B287" t="s">
        <v>29</v>
      </c>
      <c r="C287" t="s">
        <v>29</v>
      </c>
      <c r="D287" t="s">
        <v>60</v>
      </c>
      <c r="E287">
        <v>15</v>
      </c>
      <c r="F287">
        <v>20</v>
      </c>
      <c r="G287" t="s">
        <v>64</v>
      </c>
      <c r="H287" t="s">
        <v>40</v>
      </c>
      <c r="I287" s="24">
        <v>46041</v>
      </c>
      <c r="J287" t="s">
        <v>117</v>
      </c>
      <c r="K287" t="s">
        <v>117</v>
      </c>
      <c r="L287" t="s">
        <v>117</v>
      </c>
      <c r="M287">
        <v>5</v>
      </c>
      <c r="N287">
        <v>75</v>
      </c>
      <c r="O287">
        <v>2.8571428571428572</v>
      </c>
      <c r="P287">
        <v>0</v>
      </c>
    </row>
    <row r="288" spans="1:16" x14ac:dyDescent="0.45">
      <c r="A288" t="s">
        <v>48</v>
      </c>
      <c r="B288" t="s">
        <v>30</v>
      </c>
      <c r="C288" t="s">
        <v>28</v>
      </c>
      <c r="D288" t="s">
        <v>49</v>
      </c>
      <c r="E288">
        <v>30</v>
      </c>
      <c r="F288">
        <v>40</v>
      </c>
      <c r="G288" t="s">
        <v>65</v>
      </c>
      <c r="H288" t="s">
        <v>35</v>
      </c>
      <c r="I288" s="24">
        <v>46042</v>
      </c>
      <c r="J288" t="s">
        <v>117</v>
      </c>
      <c r="K288" t="s">
        <v>117</v>
      </c>
      <c r="L288" t="s">
        <v>117</v>
      </c>
      <c r="M288">
        <v>7</v>
      </c>
      <c r="N288">
        <v>210</v>
      </c>
      <c r="O288">
        <v>5.7142857142857144</v>
      </c>
      <c r="P288">
        <v>0</v>
      </c>
    </row>
    <row r="289" spans="1:16" x14ac:dyDescent="0.45">
      <c r="A289" t="s">
        <v>50</v>
      </c>
      <c r="B289" t="s">
        <v>27</v>
      </c>
      <c r="C289" t="s">
        <v>28</v>
      </c>
      <c r="D289" t="s">
        <v>49</v>
      </c>
      <c r="E289">
        <v>25</v>
      </c>
      <c r="F289">
        <v>40</v>
      </c>
      <c r="G289" t="s">
        <v>65</v>
      </c>
      <c r="H289" t="s">
        <v>37</v>
      </c>
      <c r="I289" s="24">
        <v>46042</v>
      </c>
      <c r="J289" t="s">
        <v>117</v>
      </c>
      <c r="K289" t="s">
        <v>117</v>
      </c>
      <c r="L289" t="s">
        <v>117</v>
      </c>
      <c r="M289">
        <v>7</v>
      </c>
      <c r="N289">
        <v>175</v>
      </c>
      <c r="O289">
        <v>5.7142857142857144</v>
      </c>
      <c r="P289">
        <v>0</v>
      </c>
    </row>
    <row r="290" spans="1:16" x14ac:dyDescent="0.45">
      <c r="A290" t="s">
        <v>51</v>
      </c>
      <c r="B290" t="s">
        <v>27</v>
      </c>
      <c r="C290" t="s">
        <v>28</v>
      </c>
      <c r="D290" t="s">
        <v>49</v>
      </c>
      <c r="E290">
        <v>25</v>
      </c>
      <c r="F290">
        <v>40</v>
      </c>
      <c r="G290" t="s">
        <v>65</v>
      </c>
      <c r="H290" t="s">
        <v>41</v>
      </c>
      <c r="I290" s="24">
        <v>46042</v>
      </c>
      <c r="J290" t="s">
        <v>117</v>
      </c>
      <c r="K290" t="s">
        <v>117</v>
      </c>
      <c r="L290" t="s">
        <v>117</v>
      </c>
      <c r="M290">
        <v>0</v>
      </c>
      <c r="N290">
        <v>0</v>
      </c>
      <c r="O290">
        <v>5.7142857142857144</v>
      </c>
      <c r="P290">
        <v>0</v>
      </c>
    </row>
    <row r="291" spans="1:16" x14ac:dyDescent="0.45">
      <c r="A291" t="s">
        <v>52</v>
      </c>
      <c r="B291" t="s">
        <v>26</v>
      </c>
      <c r="C291" t="s">
        <v>26</v>
      </c>
      <c r="D291" t="s">
        <v>49</v>
      </c>
      <c r="E291">
        <v>35</v>
      </c>
      <c r="F291">
        <v>40</v>
      </c>
      <c r="G291" t="s">
        <v>65</v>
      </c>
      <c r="H291" t="s">
        <v>42</v>
      </c>
      <c r="I291" s="24">
        <v>46042</v>
      </c>
      <c r="J291" t="s">
        <v>117</v>
      </c>
      <c r="K291" t="s">
        <v>117</v>
      </c>
      <c r="L291" t="s">
        <v>117</v>
      </c>
      <c r="M291">
        <v>7.9999999999999982</v>
      </c>
      <c r="N291">
        <v>279.99999999999994</v>
      </c>
      <c r="O291">
        <v>5.7142857142857144</v>
      </c>
      <c r="P291">
        <v>0</v>
      </c>
    </row>
    <row r="292" spans="1:16" x14ac:dyDescent="0.45">
      <c r="A292" t="s">
        <v>53</v>
      </c>
      <c r="B292" t="s">
        <v>26</v>
      </c>
      <c r="C292" t="s">
        <v>26</v>
      </c>
      <c r="D292" t="s">
        <v>49</v>
      </c>
      <c r="E292">
        <v>35</v>
      </c>
      <c r="F292">
        <v>40</v>
      </c>
      <c r="G292" t="s">
        <v>65</v>
      </c>
      <c r="H292" t="s">
        <v>44</v>
      </c>
      <c r="I292" s="24">
        <v>46042</v>
      </c>
      <c r="J292" t="s">
        <v>117</v>
      </c>
      <c r="K292" t="s">
        <v>117</v>
      </c>
      <c r="L292" t="s">
        <v>117</v>
      </c>
      <c r="M292">
        <v>8</v>
      </c>
      <c r="N292">
        <v>280</v>
      </c>
      <c r="O292">
        <v>5.7142857142857144</v>
      </c>
      <c r="P292">
        <v>0</v>
      </c>
    </row>
    <row r="293" spans="1:16" x14ac:dyDescent="0.45">
      <c r="A293" t="s">
        <v>54</v>
      </c>
      <c r="B293" t="s">
        <v>25</v>
      </c>
      <c r="C293" t="s">
        <v>26</v>
      </c>
      <c r="D293" t="s">
        <v>49</v>
      </c>
      <c r="E293">
        <v>28</v>
      </c>
      <c r="F293">
        <v>40</v>
      </c>
      <c r="G293" t="s">
        <v>65</v>
      </c>
      <c r="H293" t="s">
        <v>41</v>
      </c>
      <c r="I293" s="24">
        <v>46042</v>
      </c>
      <c r="J293" t="s">
        <v>117</v>
      </c>
      <c r="K293" t="s">
        <v>117</v>
      </c>
      <c r="L293" t="s">
        <v>117</v>
      </c>
      <c r="M293">
        <v>0</v>
      </c>
      <c r="N293">
        <v>0</v>
      </c>
      <c r="O293">
        <v>5.7142857142857144</v>
      </c>
      <c r="P293">
        <v>0</v>
      </c>
    </row>
    <row r="294" spans="1:16" x14ac:dyDescent="0.45">
      <c r="A294" t="s">
        <v>55</v>
      </c>
      <c r="B294" t="s">
        <v>25</v>
      </c>
      <c r="C294" t="s">
        <v>26</v>
      </c>
      <c r="D294" t="s">
        <v>49</v>
      </c>
      <c r="E294">
        <v>28</v>
      </c>
      <c r="F294">
        <v>40</v>
      </c>
      <c r="G294" t="s">
        <v>65</v>
      </c>
      <c r="H294" t="s">
        <v>44</v>
      </c>
      <c r="I294" s="24">
        <v>46042</v>
      </c>
      <c r="J294" t="s">
        <v>117</v>
      </c>
      <c r="K294" t="s">
        <v>117</v>
      </c>
      <c r="L294" t="s">
        <v>117</v>
      </c>
      <c r="M294">
        <v>8</v>
      </c>
      <c r="N294">
        <v>224</v>
      </c>
      <c r="O294">
        <v>5.7142857142857144</v>
      </c>
      <c r="P294">
        <v>0</v>
      </c>
    </row>
    <row r="295" spans="1:16" x14ac:dyDescent="0.45">
      <c r="A295" t="s">
        <v>56</v>
      </c>
      <c r="B295" t="s">
        <v>29</v>
      </c>
      <c r="C295" t="s">
        <v>29</v>
      </c>
      <c r="D295" t="s">
        <v>49</v>
      </c>
      <c r="E295">
        <v>20</v>
      </c>
      <c r="F295">
        <v>40</v>
      </c>
      <c r="G295" t="s">
        <v>65</v>
      </c>
      <c r="H295" t="s">
        <v>45</v>
      </c>
      <c r="I295" s="24">
        <v>46042</v>
      </c>
      <c r="J295" t="s">
        <v>117</v>
      </c>
      <c r="K295" t="s">
        <v>117</v>
      </c>
      <c r="L295" t="s">
        <v>117</v>
      </c>
      <c r="M295">
        <v>7.9999999999999982</v>
      </c>
      <c r="N295">
        <v>159.99999999999997</v>
      </c>
      <c r="O295">
        <v>5.7142857142857144</v>
      </c>
      <c r="P295">
        <v>0</v>
      </c>
    </row>
    <row r="296" spans="1:16" x14ac:dyDescent="0.45">
      <c r="A296" t="s">
        <v>57</v>
      </c>
      <c r="B296" t="s">
        <v>29</v>
      </c>
      <c r="C296" t="s">
        <v>29</v>
      </c>
      <c r="D296" t="s">
        <v>49</v>
      </c>
      <c r="E296">
        <v>20</v>
      </c>
      <c r="F296">
        <v>40</v>
      </c>
      <c r="G296" t="s">
        <v>65</v>
      </c>
      <c r="H296" t="s">
        <v>44</v>
      </c>
      <c r="I296" s="24">
        <v>46042</v>
      </c>
      <c r="J296" t="s">
        <v>117</v>
      </c>
      <c r="K296" t="s">
        <v>117</v>
      </c>
      <c r="L296" t="s">
        <v>117</v>
      </c>
      <c r="M296">
        <v>8</v>
      </c>
      <c r="N296">
        <v>160</v>
      </c>
      <c r="O296">
        <v>5.7142857142857144</v>
      </c>
      <c r="P296">
        <v>0</v>
      </c>
    </row>
    <row r="297" spans="1:16" x14ac:dyDescent="0.45">
      <c r="A297" t="s">
        <v>58</v>
      </c>
      <c r="B297" t="s">
        <v>29</v>
      </c>
      <c r="C297" t="s">
        <v>29</v>
      </c>
      <c r="D297" t="s">
        <v>49</v>
      </c>
      <c r="E297">
        <v>20</v>
      </c>
      <c r="F297">
        <v>40</v>
      </c>
      <c r="G297" t="s">
        <v>65</v>
      </c>
      <c r="H297" t="s">
        <v>41</v>
      </c>
      <c r="I297" s="24">
        <v>46042</v>
      </c>
      <c r="J297" t="s">
        <v>117</v>
      </c>
      <c r="K297" t="s">
        <v>117</v>
      </c>
      <c r="L297" t="s">
        <v>117</v>
      </c>
      <c r="M297">
        <v>0</v>
      </c>
      <c r="N297">
        <v>0</v>
      </c>
      <c r="O297">
        <v>5.7142857142857144</v>
      </c>
      <c r="P297">
        <v>0</v>
      </c>
    </row>
    <row r="298" spans="1:16" x14ac:dyDescent="0.45">
      <c r="A298" t="s">
        <v>59</v>
      </c>
      <c r="B298" t="s">
        <v>29</v>
      </c>
      <c r="C298" t="s">
        <v>29</v>
      </c>
      <c r="D298" t="s">
        <v>60</v>
      </c>
      <c r="E298">
        <v>15</v>
      </c>
      <c r="F298">
        <v>20</v>
      </c>
      <c r="G298" t="s">
        <v>65</v>
      </c>
      <c r="H298" t="s">
        <v>46</v>
      </c>
      <c r="I298" s="24">
        <v>46042</v>
      </c>
      <c r="J298" t="s">
        <v>117</v>
      </c>
      <c r="K298" t="s">
        <v>117</v>
      </c>
      <c r="L298" t="s">
        <v>117</v>
      </c>
      <c r="M298">
        <v>4.9999999999999982</v>
      </c>
      <c r="N298">
        <v>74.999999999999972</v>
      </c>
      <c r="O298">
        <v>2.8571428571428572</v>
      </c>
      <c r="P298">
        <v>0</v>
      </c>
    </row>
    <row r="299" spans="1:16" x14ac:dyDescent="0.45">
      <c r="A299" t="s">
        <v>61</v>
      </c>
      <c r="B299" t="s">
        <v>29</v>
      </c>
      <c r="C299" t="s">
        <v>29</v>
      </c>
      <c r="D299" t="s">
        <v>60</v>
      </c>
      <c r="E299">
        <v>15</v>
      </c>
      <c r="F299">
        <v>20</v>
      </c>
      <c r="G299" t="s">
        <v>65</v>
      </c>
      <c r="H299" t="s">
        <v>40</v>
      </c>
      <c r="I299" s="24">
        <v>46042</v>
      </c>
      <c r="J299" t="s">
        <v>117</v>
      </c>
      <c r="K299" t="s">
        <v>117</v>
      </c>
      <c r="L299" t="s">
        <v>117</v>
      </c>
      <c r="M299">
        <v>5</v>
      </c>
      <c r="N299">
        <v>75</v>
      </c>
      <c r="O299">
        <v>2.8571428571428572</v>
      </c>
      <c r="P299">
        <v>0</v>
      </c>
    </row>
    <row r="300" spans="1:16" x14ac:dyDescent="0.45">
      <c r="A300" t="s">
        <v>62</v>
      </c>
      <c r="B300" t="s">
        <v>29</v>
      </c>
      <c r="C300" t="s">
        <v>29</v>
      </c>
      <c r="D300" t="s">
        <v>60</v>
      </c>
      <c r="E300">
        <v>15</v>
      </c>
      <c r="F300">
        <v>20</v>
      </c>
      <c r="G300" t="s">
        <v>65</v>
      </c>
      <c r="H300" t="s">
        <v>40</v>
      </c>
      <c r="I300" s="24">
        <v>46042</v>
      </c>
      <c r="J300" t="s">
        <v>117</v>
      </c>
      <c r="K300" t="s">
        <v>117</v>
      </c>
      <c r="L300" t="s">
        <v>117</v>
      </c>
      <c r="M300">
        <v>5</v>
      </c>
      <c r="N300">
        <v>75</v>
      </c>
      <c r="O300">
        <v>2.8571428571428572</v>
      </c>
      <c r="P300">
        <v>0</v>
      </c>
    </row>
    <row r="301" spans="1:16" x14ac:dyDescent="0.45">
      <c r="A301" t="s">
        <v>48</v>
      </c>
      <c r="B301" t="s">
        <v>30</v>
      </c>
      <c r="C301" t="s">
        <v>28</v>
      </c>
      <c r="D301" t="s">
        <v>49</v>
      </c>
      <c r="E301">
        <v>30</v>
      </c>
      <c r="F301">
        <v>40</v>
      </c>
      <c r="G301" t="s">
        <v>66</v>
      </c>
      <c r="H301" t="s">
        <v>40</v>
      </c>
      <c r="I301" s="24">
        <v>46043</v>
      </c>
      <c r="J301" t="s">
        <v>117</v>
      </c>
      <c r="K301" t="s">
        <v>117</v>
      </c>
      <c r="L301" t="s">
        <v>117</v>
      </c>
      <c r="M301">
        <v>5</v>
      </c>
      <c r="N301">
        <v>150</v>
      </c>
      <c r="O301">
        <v>5.7142857142857144</v>
      </c>
      <c r="P301">
        <v>0</v>
      </c>
    </row>
    <row r="302" spans="1:16" x14ac:dyDescent="0.45">
      <c r="A302" t="s">
        <v>50</v>
      </c>
      <c r="B302" t="s">
        <v>27</v>
      </c>
      <c r="C302" t="s">
        <v>28</v>
      </c>
      <c r="D302" t="s">
        <v>49</v>
      </c>
      <c r="E302">
        <v>25</v>
      </c>
      <c r="F302">
        <v>40</v>
      </c>
      <c r="G302" t="s">
        <v>66</v>
      </c>
      <c r="H302" t="s">
        <v>41</v>
      </c>
      <c r="I302" s="24">
        <v>46043</v>
      </c>
      <c r="J302" t="s">
        <v>117</v>
      </c>
      <c r="K302" t="s">
        <v>117</v>
      </c>
      <c r="L302" t="s">
        <v>117</v>
      </c>
      <c r="M302">
        <v>0</v>
      </c>
      <c r="N302">
        <v>0</v>
      </c>
      <c r="O302">
        <v>5.7142857142857144</v>
      </c>
      <c r="P302">
        <v>0</v>
      </c>
    </row>
    <row r="303" spans="1:16" x14ac:dyDescent="0.45">
      <c r="A303" t="s">
        <v>51</v>
      </c>
      <c r="B303" t="s">
        <v>27</v>
      </c>
      <c r="C303" t="s">
        <v>28</v>
      </c>
      <c r="D303" t="s">
        <v>49</v>
      </c>
      <c r="E303">
        <v>25</v>
      </c>
      <c r="F303">
        <v>40</v>
      </c>
      <c r="G303" t="s">
        <v>66</v>
      </c>
      <c r="H303" t="s">
        <v>35</v>
      </c>
      <c r="I303" s="24">
        <v>46043</v>
      </c>
      <c r="J303" t="s">
        <v>117</v>
      </c>
      <c r="K303" t="s">
        <v>117</v>
      </c>
      <c r="L303" t="s">
        <v>117</v>
      </c>
      <c r="M303">
        <v>7</v>
      </c>
      <c r="N303">
        <v>175</v>
      </c>
      <c r="O303">
        <v>5.7142857142857144</v>
      </c>
      <c r="P303">
        <v>0</v>
      </c>
    </row>
    <row r="304" spans="1:16" x14ac:dyDescent="0.45">
      <c r="A304" t="s">
        <v>52</v>
      </c>
      <c r="B304" t="s">
        <v>26</v>
      </c>
      <c r="C304" t="s">
        <v>26</v>
      </c>
      <c r="D304" t="s">
        <v>49</v>
      </c>
      <c r="E304">
        <v>35</v>
      </c>
      <c r="F304">
        <v>40</v>
      </c>
      <c r="G304" t="s">
        <v>66</v>
      </c>
      <c r="H304" t="s">
        <v>41</v>
      </c>
      <c r="I304" s="24">
        <v>46043</v>
      </c>
      <c r="J304" t="s">
        <v>117</v>
      </c>
      <c r="K304" t="s">
        <v>117</v>
      </c>
      <c r="L304" t="s">
        <v>117</v>
      </c>
      <c r="M304">
        <v>0</v>
      </c>
      <c r="N304">
        <v>0</v>
      </c>
      <c r="O304">
        <v>5.7142857142857144</v>
      </c>
      <c r="P304">
        <v>0</v>
      </c>
    </row>
    <row r="305" spans="1:16" x14ac:dyDescent="0.45">
      <c r="A305" t="s">
        <v>53</v>
      </c>
      <c r="B305" t="s">
        <v>26</v>
      </c>
      <c r="C305" t="s">
        <v>26</v>
      </c>
      <c r="D305" t="s">
        <v>49</v>
      </c>
      <c r="E305">
        <v>35</v>
      </c>
      <c r="F305">
        <v>40</v>
      </c>
      <c r="G305" t="s">
        <v>66</v>
      </c>
      <c r="H305" t="s">
        <v>42</v>
      </c>
      <c r="I305" s="24">
        <v>46043</v>
      </c>
      <c r="J305" t="s">
        <v>117</v>
      </c>
      <c r="K305" t="s">
        <v>117</v>
      </c>
      <c r="L305" t="s">
        <v>117</v>
      </c>
      <c r="M305">
        <v>7.9999999999999982</v>
      </c>
      <c r="N305">
        <v>279.99999999999994</v>
      </c>
      <c r="O305">
        <v>5.7142857142857144</v>
      </c>
      <c r="P305">
        <v>0</v>
      </c>
    </row>
    <row r="306" spans="1:16" x14ac:dyDescent="0.45">
      <c r="A306" t="s">
        <v>54</v>
      </c>
      <c r="B306" t="s">
        <v>25</v>
      </c>
      <c r="C306" t="s">
        <v>26</v>
      </c>
      <c r="D306" t="s">
        <v>49</v>
      </c>
      <c r="E306">
        <v>28</v>
      </c>
      <c r="F306">
        <v>40</v>
      </c>
      <c r="G306" t="s">
        <v>66</v>
      </c>
      <c r="H306" t="s">
        <v>42</v>
      </c>
      <c r="I306" s="24">
        <v>46043</v>
      </c>
      <c r="J306" t="s">
        <v>117</v>
      </c>
      <c r="K306" t="s">
        <v>117</v>
      </c>
      <c r="L306" t="s">
        <v>117</v>
      </c>
      <c r="M306">
        <v>7.9999999999999982</v>
      </c>
      <c r="N306">
        <v>223.99999999999994</v>
      </c>
      <c r="O306">
        <v>5.7142857142857144</v>
      </c>
      <c r="P306">
        <v>0</v>
      </c>
    </row>
    <row r="307" spans="1:16" x14ac:dyDescent="0.45">
      <c r="A307" t="s">
        <v>55</v>
      </c>
      <c r="B307" t="s">
        <v>25</v>
      </c>
      <c r="C307" t="s">
        <v>26</v>
      </c>
      <c r="D307" t="s">
        <v>49</v>
      </c>
      <c r="E307">
        <v>28</v>
      </c>
      <c r="F307">
        <v>40</v>
      </c>
      <c r="G307" t="s">
        <v>66</v>
      </c>
      <c r="H307" t="s">
        <v>44</v>
      </c>
      <c r="I307" s="24">
        <v>46043</v>
      </c>
      <c r="J307" t="s">
        <v>117</v>
      </c>
      <c r="K307" t="s">
        <v>117</v>
      </c>
      <c r="L307" t="s">
        <v>117</v>
      </c>
      <c r="M307">
        <v>8</v>
      </c>
      <c r="N307">
        <v>224</v>
      </c>
      <c r="O307">
        <v>5.7142857142857144</v>
      </c>
      <c r="P307">
        <v>0</v>
      </c>
    </row>
    <row r="308" spans="1:16" x14ac:dyDescent="0.45">
      <c r="A308" t="s">
        <v>56</v>
      </c>
      <c r="B308" t="s">
        <v>29</v>
      </c>
      <c r="C308" t="s">
        <v>29</v>
      </c>
      <c r="D308" t="s">
        <v>49</v>
      </c>
      <c r="E308">
        <v>20</v>
      </c>
      <c r="F308">
        <v>40</v>
      </c>
      <c r="G308" t="s">
        <v>66</v>
      </c>
      <c r="H308" t="s">
        <v>45</v>
      </c>
      <c r="I308" s="24">
        <v>46043</v>
      </c>
      <c r="J308" t="s">
        <v>117</v>
      </c>
      <c r="K308" t="s">
        <v>117</v>
      </c>
      <c r="L308" t="s">
        <v>117</v>
      </c>
      <c r="M308">
        <v>7.9999999999999982</v>
      </c>
      <c r="N308">
        <v>159.99999999999997</v>
      </c>
      <c r="O308">
        <v>5.7142857142857144</v>
      </c>
      <c r="P308">
        <v>0</v>
      </c>
    </row>
    <row r="309" spans="1:16" x14ac:dyDescent="0.45">
      <c r="A309" t="s">
        <v>57</v>
      </c>
      <c r="B309" t="s">
        <v>29</v>
      </c>
      <c r="C309" t="s">
        <v>29</v>
      </c>
      <c r="D309" t="s">
        <v>49</v>
      </c>
      <c r="E309">
        <v>20</v>
      </c>
      <c r="F309">
        <v>40</v>
      </c>
      <c r="G309" t="s">
        <v>66</v>
      </c>
      <c r="H309" t="s">
        <v>44</v>
      </c>
      <c r="I309" s="24">
        <v>46043</v>
      </c>
      <c r="J309" t="s">
        <v>117</v>
      </c>
      <c r="K309" t="s">
        <v>117</v>
      </c>
      <c r="L309" t="s">
        <v>117</v>
      </c>
      <c r="M309">
        <v>8</v>
      </c>
      <c r="N309">
        <v>160</v>
      </c>
      <c r="O309">
        <v>5.7142857142857144</v>
      </c>
      <c r="P309">
        <v>0</v>
      </c>
    </row>
    <row r="310" spans="1:16" x14ac:dyDescent="0.45">
      <c r="A310" t="s">
        <v>58</v>
      </c>
      <c r="B310" t="s">
        <v>29</v>
      </c>
      <c r="C310" t="s">
        <v>29</v>
      </c>
      <c r="D310" t="s">
        <v>49</v>
      </c>
      <c r="E310">
        <v>20</v>
      </c>
      <c r="F310">
        <v>40</v>
      </c>
      <c r="G310" t="s">
        <v>66</v>
      </c>
      <c r="H310" t="s">
        <v>41</v>
      </c>
      <c r="I310" s="24">
        <v>46043</v>
      </c>
      <c r="J310" t="s">
        <v>117</v>
      </c>
      <c r="K310" t="s">
        <v>117</v>
      </c>
      <c r="L310" t="s">
        <v>117</v>
      </c>
      <c r="M310">
        <v>0</v>
      </c>
      <c r="N310">
        <v>0</v>
      </c>
      <c r="O310">
        <v>5.7142857142857144</v>
      </c>
      <c r="P310">
        <v>0</v>
      </c>
    </row>
    <row r="311" spans="1:16" x14ac:dyDescent="0.45">
      <c r="A311" t="s">
        <v>59</v>
      </c>
      <c r="B311" t="s">
        <v>29</v>
      </c>
      <c r="C311" t="s">
        <v>29</v>
      </c>
      <c r="D311" t="s">
        <v>60</v>
      </c>
      <c r="E311">
        <v>15</v>
      </c>
      <c r="F311">
        <v>20</v>
      </c>
      <c r="G311" t="s">
        <v>66</v>
      </c>
      <c r="H311" t="s">
        <v>46</v>
      </c>
      <c r="I311" s="24">
        <v>46043</v>
      </c>
      <c r="J311" t="s">
        <v>117</v>
      </c>
      <c r="K311" t="s">
        <v>117</v>
      </c>
      <c r="L311" t="s">
        <v>117</v>
      </c>
      <c r="M311">
        <v>4.9999999999999982</v>
      </c>
      <c r="N311">
        <v>74.999999999999972</v>
      </c>
      <c r="O311">
        <v>2.8571428571428572</v>
      </c>
      <c r="P311">
        <v>0</v>
      </c>
    </row>
    <row r="312" spans="1:16" x14ac:dyDescent="0.45">
      <c r="A312" t="s">
        <v>61</v>
      </c>
      <c r="B312" t="s">
        <v>29</v>
      </c>
      <c r="C312" t="s">
        <v>29</v>
      </c>
      <c r="D312" t="s">
        <v>60</v>
      </c>
      <c r="E312">
        <v>15</v>
      </c>
      <c r="F312">
        <v>20</v>
      </c>
      <c r="G312" t="s">
        <v>66</v>
      </c>
      <c r="H312" t="s">
        <v>39</v>
      </c>
      <c r="I312" s="24">
        <v>46043</v>
      </c>
      <c r="J312" t="s">
        <v>117</v>
      </c>
      <c r="K312" t="s">
        <v>117</v>
      </c>
      <c r="L312" t="s">
        <v>117</v>
      </c>
      <c r="M312">
        <v>4.9999999999999982</v>
      </c>
      <c r="N312">
        <v>74.999999999999972</v>
      </c>
      <c r="O312">
        <v>2.8571428571428572</v>
      </c>
      <c r="P312">
        <v>0</v>
      </c>
    </row>
    <row r="313" spans="1:16" x14ac:dyDescent="0.45">
      <c r="A313" t="s">
        <v>62</v>
      </c>
      <c r="B313" t="s">
        <v>29</v>
      </c>
      <c r="C313" t="s">
        <v>29</v>
      </c>
      <c r="D313" t="s">
        <v>60</v>
      </c>
      <c r="E313">
        <v>15</v>
      </c>
      <c r="F313">
        <v>20</v>
      </c>
      <c r="G313" t="s">
        <v>66</v>
      </c>
      <c r="H313" t="s">
        <v>41</v>
      </c>
      <c r="I313" s="24">
        <v>46043</v>
      </c>
      <c r="J313" t="s">
        <v>117</v>
      </c>
      <c r="K313" t="s">
        <v>117</v>
      </c>
      <c r="L313" t="s">
        <v>117</v>
      </c>
      <c r="M313">
        <v>0</v>
      </c>
      <c r="N313">
        <v>0</v>
      </c>
      <c r="O313">
        <v>2.8571428571428572</v>
      </c>
      <c r="P313">
        <v>0</v>
      </c>
    </row>
    <row r="314" spans="1:16" x14ac:dyDescent="0.45">
      <c r="A314" t="s">
        <v>48</v>
      </c>
      <c r="B314" t="s">
        <v>30</v>
      </c>
      <c r="C314" t="s">
        <v>28</v>
      </c>
      <c r="D314" t="s">
        <v>49</v>
      </c>
      <c r="E314">
        <v>30</v>
      </c>
      <c r="F314">
        <v>40</v>
      </c>
      <c r="G314" t="s">
        <v>67</v>
      </c>
      <c r="H314" t="s">
        <v>41</v>
      </c>
      <c r="I314" s="24">
        <v>46044</v>
      </c>
      <c r="J314" t="s">
        <v>117</v>
      </c>
      <c r="K314" t="s">
        <v>117</v>
      </c>
      <c r="L314" t="s">
        <v>117</v>
      </c>
      <c r="M314">
        <v>0</v>
      </c>
      <c r="N314">
        <v>0</v>
      </c>
      <c r="O314">
        <v>5.7142857142857144</v>
      </c>
      <c r="P314">
        <v>0</v>
      </c>
    </row>
    <row r="315" spans="1:16" x14ac:dyDescent="0.45">
      <c r="A315" t="s">
        <v>50</v>
      </c>
      <c r="B315" t="s">
        <v>27</v>
      </c>
      <c r="C315" t="s">
        <v>28</v>
      </c>
      <c r="D315" t="s">
        <v>49</v>
      </c>
      <c r="E315">
        <v>25</v>
      </c>
      <c r="F315">
        <v>40</v>
      </c>
      <c r="G315" t="s">
        <v>67</v>
      </c>
      <c r="H315" t="s">
        <v>37</v>
      </c>
      <c r="I315" s="24">
        <v>46044</v>
      </c>
      <c r="J315" t="s">
        <v>117</v>
      </c>
      <c r="K315" t="s">
        <v>117</v>
      </c>
      <c r="L315" t="s">
        <v>117</v>
      </c>
      <c r="M315">
        <v>7</v>
      </c>
      <c r="N315">
        <v>175</v>
      </c>
      <c r="O315">
        <v>5.7142857142857144</v>
      </c>
      <c r="P315">
        <v>0</v>
      </c>
    </row>
    <row r="316" spans="1:16" x14ac:dyDescent="0.45">
      <c r="A316" t="s">
        <v>51</v>
      </c>
      <c r="B316" t="s">
        <v>27</v>
      </c>
      <c r="C316" t="s">
        <v>28</v>
      </c>
      <c r="D316" t="s">
        <v>49</v>
      </c>
      <c r="E316">
        <v>25</v>
      </c>
      <c r="F316">
        <v>40</v>
      </c>
      <c r="G316" t="s">
        <v>67</v>
      </c>
      <c r="H316" t="s">
        <v>35</v>
      </c>
      <c r="I316" s="24">
        <v>46044</v>
      </c>
      <c r="J316" t="s">
        <v>117</v>
      </c>
      <c r="K316" t="s">
        <v>117</v>
      </c>
      <c r="L316" t="s">
        <v>117</v>
      </c>
      <c r="M316">
        <v>7</v>
      </c>
      <c r="N316">
        <v>175</v>
      </c>
      <c r="O316">
        <v>5.7142857142857144</v>
      </c>
      <c r="P316">
        <v>0</v>
      </c>
    </row>
    <row r="317" spans="1:16" x14ac:dyDescent="0.45">
      <c r="A317" t="s">
        <v>52</v>
      </c>
      <c r="B317" t="s">
        <v>26</v>
      </c>
      <c r="C317" t="s">
        <v>26</v>
      </c>
      <c r="D317" t="s">
        <v>49</v>
      </c>
      <c r="E317">
        <v>35</v>
      </c>
      <c r="F317">
        <v>40</v>
      </c>
      <c r="G317" t="s">
        <v>67</v>
      </c>
      <c r="H317" t="s">
        <v>41</v>
      </c>
      <c r="I317" s="24">
        <v>46044</v>
      </c>
      <c r="J317" t="s">
        <v>117</v>
      </c>
      <c r="K317" t="s">
        <v>117</v>
      </c>
      <c r="L317" t="s">
        <v>117</v>
      </c>
      <c r="M317">
        <v>0</v>
      </c>
      <c r="N317">
        <v>0</v>
      </c>
      <c r="O317">
        <v>5.7142857142857144</v>
      </c>
      <c r="P317">
        <v>0</v>
      </c>
    </row>
    <row r="318" spans="1:16" x14ac:dyDescent="0.45">
      <c r="A318" t="s">
        <v>53</v>
      </c>
      <c r="B318" t="s">
        <v>26</v>
      </c>
      <c r="C318" t="s">
        <v>26</v>
      </c>
      <c r="D318" t="s">
        <v>49</v>
      </c>
      <c r="E318">
        <v>35</v>
      </c>
      <c r="F318">
        <v>40</v>
      </c>
      <c r="G318" t="s">
        <v>67</v>
      </c>
      <c r="H318" t="s">
        <v>44</v>
      </c>
      <c r="I318" s="24">
        <v>46044</v>
      </c>
      <c r="J318" t="s">
        <v>117</v>
      </c>
      <c r="K318" t="s">
        <v>117</v>
      </c>
      <c r="L318" t="s">
        <v>117</v>
      </c>
      <c r="M318">
        <v>8</v>
      </c>
      <c r="N318">
        <v>280</v>
      </c>
      <c r="O318">
        <v>5.7142857142857144</v>
      </c>
      <c r="P318">
        <v>0</v>
      </c>
    </row>
    <row r="319" spans="1:16" x14ac:dyDescent="0.45">
      <c r="A319" t="s">
        <v>54</v>
      </c>
      <c r="B319" t="s">
        <v>25</v>
      </c>
      <c r="C319" t="s">
        <v>26</v>
      </c>
      <c r="D319" t="s">
        <v>49</v>
      </c>
      <c r="E319">
        <v>28</v>
      </c>
      <c r="F319">
        <v>40</v>
      </c>
      <c r="G319" t="s">
        <v>67</v>
      </c>
      <c r="H319" t="s">
        <v>42</v>
      </c>
      <c r="I319" s="24">
        <v>46044</v>
      </c>
      <c r="J319" t="s">
        <v>117</v>
      </c>
      <c r="K319" t="s">
        <v>117</v>
      </c>
      <c r="L319" t="s">
        <v>117</v>
      </c>
      <c r="M319">
        <v>7.9999999999999982</v>
      </c>
      <c r="N319">
        <v>223.99999999999994</v>
      </c>
      <c r="O319">
        <v>5.7142857142857144</v>
      </c>
      <c r="P319">
        <v>0</v>
      </c>
    </row>
    <row r="320" spans="1:16" x14ac:dyDescent="0.45">
      <c r="A320" t="s">
        <v>55</v>
      </c>
      <c r="B320" t="s">
        <v>25</v>
      </c>
      <c r="C320" t="s">
        <v>26</v>
      </c>
      <c r="D320" t="s">
        <v>49</v>
      </c>
      <c r="E320">
        <v>28</v>
      </c>
      <c r="F320">
        <v>40</v>
      </c>
      <c r="G320" t="s">
        <v>67</v>
      </c>
      <c r="H320" t="s">
        <v>44</v>
      </c>
      <c r="I320" s="24">
        <v>46044</v>
      </c>
      <c r="J320" t="s">
        <v>117</v>
      </c>
      <c r="K320" t="s">
        <v>117</v>
      </c>
      <c r="L320" t="s">
        <v>117</v>
      </c>
      <c r="M320">
        <v>8</v>
      </c>
      <c r="N320">
        <v>224</v>
      </c>
      <c r="O320">
        <v>5.7142857142857144</v>
      </c>
      <c r="P320">
        <v>0</v>
      </c>
    </row>
    <row r="321" spans="1:16" x14ac:dyDescent="0.45">
      <c r="A321" t="s">
        <v>56</v>
      </c>
      <c r="B321" t="s">
        <v>29</v>
      </c>
      <c r="C321" t="s">
        <v>29</v>
      </c>
      <c r="D321" t="s">
        <v>49</v>
      </c>
      <c r="E321">
        <v>20</v>
      </c>
      <c r="F321">
        <v>40</v>
      </c>
      <c r="G321" t="s">
        <v>67</v>
      </c>
      <c r="H321" t="s">
        <v>41</v>
      </c>
      <c r="I321" s="24">
        <v>46044</v>
      </c>
      <c r="J321" t="s">
        <v>117</v>
      </c>
      <c r="K321" t="s">
        <v>117</v>
      </c>
      <c r="L321" t="s">
        <v>117</v>
      </c>
      <c r="M321">
        <v>0</v>
      </c>
      <c r="N321">
        <v>0</v>
      </c>
      <c r="O321">
        <v>5.7142857142857144</v>
      </c>
      <c r="P321">
        <v>0</v>
      </c>
    </row>
    <row r="322" spans="1:16" x14ac:dyDescent="0.45">
      <c r="A322" t="s">
        <v>57</v>
      </c>
      <c r="B322" t="s">
        <v>29</v>
      </c>
      <c r="C322" t="s">
        <v>29</v>
      </c>
      <c r="D322" t="s">
        <v>49</v>
      </c>
      <c r="E322">
        <v>20</v>
      </c>
      <c r="F322">
        <v>40</v>
      </c>
      <c r="G322" t="s">
        <v>67</v>
      </c>
      <c r="H322" t="s">
        <v>44</v>
      </c>
      <c r="I322" s="24">
        <v>46044</v>
      </c>
      <c r="J322" t="s">
        <v>117</v>
      </c>
      <c r="K322" t="s">
        <v>117</v>
      </c>
      <c r="L322" t="s">
        <v>117</v>
      </c>
      <c r="M322">
        <v>8</v>
      </c>
      <c r="N322">
        <v>160</v>
      </c>
      <c r="O322">
        <v>5.7142857142857144</v>
      </c>
      <c r="P322">
        <v>0</v>
      </c>
    </row>
    <row r="323" spans="1:16" x14ac:dyDescent="0.45">
      <c r="A323" t="s">
        <v>58</v>
      </c>
      <c r="B323" t="s">
        <v>29</v>
      </c>
      <c r="C323" t="s">
        <v>29</v>
      </c>
      <c r="D323" t="s">
        <v>49</v>
      </c>
      <c r="E323">
        <v>20</v>
      </c>
      <c r="F323">
        <v>40</v>
      </c>
      <c r="G323" t="s">
        <v>67</v>
      </c>
      <c r="H323" t="s">
        <v>44</v>
      </c>
      <c r="I323" s="24">
        <v>46044</v>
      </c>
      <c r="J323" t="s">
        <v>117</v>
      </c>
      <c r="K323" t="s">
        <v>117</v>
      </c>
      <c r="L323" t="s">
        <v>117</v>
      </c>
      <c r="M323">
        <v>8</v>
      </c>
      <c r="N323">
        <v>160</v>
      </c>
      <c r="O323">
        <v>5.7142857142857144</v>
      </c>
      <c r="P323">
        <v>0</v>
      </c>
    </row>
    <row r="324" spans="1:16" x14ac:dyDescent="0.45">
      <c r="A324" t="s">
        <v>59</v>
      </c>
      <c r="B324" t="s">
        <v>29</v>
      </c>
      <c r="C324" t="s">
        <v>29</v>
      </c>
      <c r="D324" t="s">
        <v>60</v>
      </c>
      <c r="E324">
        <v>15</v>
      </c>
      <c r="F324">
        <v>20</v>
      </c>
      <c r="G324" t="s">
        <v>67</v>
      </c>
      <c r="H324" t="s">
        <v>46</v>
      </c>
      <c r="I324" s="24">
        <v>46044</v>
      </c>
      <c r="J324" t="s">
        <v>117</v>
      </c>
      <c r="K324" t="s">
        <v>117</v>
      </c>
      <c r="L324" t="s">
        <v>117</v>
      </c>
      <c r="M324">
        <v>4.9999999999999982</v>
      </c>
      <c r="N324">
        <v>74.999999999999972</v>
      </c>
      <c r="O324">
        <v>2.8571428571428572</v>
      </c>
      <c r="P324">
        <v>0</v>
      </c>
    </row>
    <row r="325" spans="1:16" x14ac:dyDescent="0.45">
      <c r="A325" t="s">
        <v>61</v>
      </c>
      <c r="B325" t="s">
        <v>29</v>
      </c>
      <c r="C325" t="s">
        <v>29</v>
      </c>
      <c r="D325" t="s">
        <v>60</v>
      </c>
      <c r="E325">
        <v>15</v>
      </c>
      <c r="F325">
        <v>20</v>
      </c>
      <c r="G325" t="s">
        <v>67</v>
      </c>
      <c r="H325" t="s">
        <v>41</v>
      </c>
      <c r="I325" s="24">
        <v>46044</v>
      </c>
      <c r="J325" t="s">
        <v>117</v>
      </c>
      <c r="K325" t="s">
        <v>117</v>
      </c>
      <c r="L325" t="s">
        <v>117</v>
      </c>
      <c r="M325">
        <v>0</v>
      </c>
      <c r="N325">
        <v>0</v>
      </c>
      <c r="O325">
        <v>2.8571428571428572</v>
      </c>
      <c r="P325">
        <v>0</v>
      </c>
    </row>
    <row r="326" spans="1:16" x14ac:dyDescent="0.45">
      <c r="A326" t="s">
        <v>62</v>
      </c>
      <c r="B326" t="s">
        <v>29</v>
      </c>
      <c r="C326" t="s">
        <v>29</v>
      </c>
      <c r="D326" t="s">
        <v>60</v>
      </c>
      <c r="E326">
        <v>15</v>
      </c>
      <c r="F326">
        <v>20</v>
      </c>
      <c r="G326" t="s">
        <v>67</v>
      </c>
      <c r="H326" t="s">
        <v>41</v>
      </c>
      <c r="I326" s="24">
        <v>46044</v>
      </c>
      <c r="J326" t="s">
        <v>117</v>
      </c>
      <c r="K326" t="s">
        <v>117</v>
      </c>
      <c r="L326" t="s">
        <v>117</v>
      </c>
      <c r="M326">
        <v>0</v>
      </c>
      <c r="N326">
        <v>0</v>
      </c>
      <c r="O326">
        <v>2.8571428571428572</v>
      </c>
      <c r="P326">
        <v>0</v>
      </c>
    </row>
    <row r="327" spans="1:16" x14ac:dyDescent="0.45">
      <c r="A327" t="s">
        <v>48</v>
      </c>
      <c r="B327" t="s">
        <v>30</v>
      </c>
      <c r="C327" t="s">
        <v>28</v>
      </c>
      <c r="D327" t="s">
        <v>49</v>
      </c>
      <c r="E327">
        <v>30</v>
      </c>
      <c r="F327">
        <v>40</v>
      </c>
      <c r="G327" t="s">
        <v>68</v>
      </c>
      <c r="H327" t="s">
        <v>35</v>
      </c>
      <c r="I327" s="24">
        <v>46045</v>
      </c>
      <c r="J327" t="s">
        <v>117</v>
      </c>
      <c r="K327" t="s">
        <v>117</v>
      </c>
      <c r="L327" t="s">
        <v>117</v>
      </c>
      <c r="M327">
        <v>7</v>
      </c>
      <c r="N327">
        <v>210</v>
      </c>
      <c r="O327">
        <v>5.7142857142857144</v>
      </c>
      <c r="P327">
        <v>0</v>
      </c>
    </row>
    <row r="328" spans="1:16" x14ac:dyDescent="0.45">
      <c r="A328" t="s">
        <v>50</v>
      </c>
      <c r="B328" t="s">
        <v>27</v>
      </c>
      <c r="C328" t="s">
        <v>28</v>
      </c>
      <c r="D328" t="s">
        <v>49</v>
      </c>
      <c r="E328">
        <v>25</v>
      </c>
      <c r="F328">
        <v>40</v>
      </c>
      <c r="G328" t="s">
        <v>68</v>
      </c>
      <c r="H328" t="s">
        <v>37</v>
      </c>
      <c r="I328" s="24">
        <v>46045</v>
      </c>
      <c r="J328" t="s">
        <v>117</v>
      </c>
      <c r="K328" t="s">
        <v>117</v>
      </c>
      <c r="L328" t="s">
        <v>117</v>
      </c>
      <c r="M328">
        <v>7</v>
      </c>
      <c r="N328">
        <v>175</v>
      </c>
      <c r="O328">
        <v>5.7142857142857144</v>
      </c>
      <c r="P328">
        <v>0</v>
      </c>
    </row>
    <row r="329" spans="1:16" x14ac:dyDescent="0.45">
      <c r="A329" t="s">
        <v>51</v>
      </c>
      <c r="B329" t="s">
        <v>27</v>
      </c>
      <c r="C329" t="s">
        <v>28</v>
      </c>
      <c r="D329" t="s">
        <v>49</v>
      </c>
      <c r="E329">
        <v>25</v>
      </c>
      <c r="F329">
        <v>40</v>
      </c>
      <c r="G329" t="s">
        <v>68</v>
      </c>
      <c r="H329" t="s">
        <v>35</v>
      </c>
      <c r="I329" s="24">
        <v>46045</v>
      </c>
      <c r="J329" t="s">
        <v>117</v>
      </c>
      <c r="K329" t="s">
        <v>117</v>
      </c>
      <c r="L329" t="s">
        <v>117</v>
      </c>
      <c r="M329">
        <v>7</v>
      </c>
      <c r="N329">
        <v>175</v>
      </c>
      <c r="O329">
        <v>5.7142857142857144</v>
      </c>
      <c r="P329">
        <v>0</v>
      </c>
    </row>
    <row r="330" spans="1:16" x14ac:dyDescent="0.45">
      <c r="A330" t="s">
        <v>52</v>
      </c>
      <c r="B330" t="s">
        <v>26</v>
      </c>
      <c r="C330" t="s">
        <v>26</v>
      </c>
      <c r="D330" t="s">
        <v>49</v>
      </c>
      <c r="E330">
        <v>35</v>
      </c>
      <c r="F330">
        <v>40</v>
      </c>
      <c r="G330" t="s">
        <v>68</v>
      </c>
      <c r="H330" t="s">
        <v>41</v>
      </c>
      <c r="I330" s="24">
        <v>46045</v>
      </c>
      <c r="J330" t="s">
        <v>117</v>
      </c>
      <c r="K330" t="s">
        <v>117</v>
      </c>
      <c r="L330" t="s">
        <v>117</v>
      </c>
      <c r="M330">
        <v>0</v>
      </c>
      <c r="N330">
        <v>0</v>
      </c>
      <c r="O330">
        <v>5.7142857142857144</v>
      </c>
      <c r="P330">
        <v>0</v>
      </c>
    </row>
    <row r="331" spans="1:16" x14ac:dyDescent="0.45">
      <c r="A331" t="s">
        <v>53</v>
      </c>
      <c r="B331" t="s">
        <v>26</v>
      </c>
      <c r="C331" t="s">
        <v>26</v>
      </c>
      <c r="D331" t="s">
        <v>49</v>
      </c>
      <c r="E331">
        <v>35</v>
      </c>
      <c r="F331">
        <v>40</v>
      </c>
      <c r="G331" t="s">
        <v>68</v>
      </c>
      <c r="H331" t="s">
        <v>41</v>
      </c>
      <c r="I331" s="24">
        <v>46045</v>
      </c>
      <c r="J331" t="s">
        <v>117</v>
      </c>
      <c r="K331" t="s">
        <v>117</v>
      </c>
      <c r="L331" t="s">
        <v>117</v>
      </c>
      <c r="M331">
        <v>0</v>
      </c>
      <c r="N331">
        <v>0</v>
      </c>
      <c r="O331">
        <v>5.7142857142857144</v>
      </c>
      <c r="P331">
        <v>0</v>
      </c>
    </row>
    <row r="332" spans="1:16" x14ac:dyDescent="0.45">
      <c r="A332" t="s">
        <v>54</v>
      </c>
      <c r="B332" t="s">
        <v>25</v>
      </c>
      <c r="C332" t="s">
        <v>26</v>
      </c>
      <c r="D332" t="s">
        <v>49</v>
      </c>
      <c r="E332">
        <v>28</v>
      </c>
      <c r="F332">
        <v>40</v>
      </c>
      <c r="G332" t="s">
        <v>68</v>
      </c>
      <c r="H332" t="s">
        <v>42</v>
      </c>
      <c r="I332" s="24">
        <v>46045</v>
      </c>
      <c r="J332" t="s">
        <v>117</v>
      </c>
      <c r="K332" t="s">
        <v>117</v>
      </c>
      <c r="L332" t="s">
        <v>117</v>
      </c>
      <c r="M332">
        <v>7.9999999999999982</v>
      </c>
      <c r="N332">
        <v>223.99999999999994</v>
      </c>
      <c r="O332">
        <v>5.7142857142857144</v>
      </c>
      <c r="P332">
        <v>0</v>
      </c>
    </row>
    <row r="333" spans="1:16" x14ac:dyDescent="0.45">
      <c r="A333" t="s">
        <v>55</v>
      </c>
      <c r="B333" t="s">
        <v>25</v>
      </c>
      <c r="C333" t="s">
        <v>26</v>
      </c>
      <c r="D333" t="s">
        <v>49</v>
      </c>
      <c r="E333">
        <v>28</v>
      </c>
      <c r="F333">
        <v>40</v>
      </c>
      <c r="G333" t="s">
        <v>68</v>
      </c>
      <c r="H333" t="s">
        <v>44</v>
      </c>
      <c r="I333" s="24">
        <v>46045</v>
      </c>
      <c r="J333" t="s">
        <v>117</v>
      </c>
      <c r="K333" t="s">
        <v>117</v>
      </c>
      <c r="L333" t="s">
        <v>117</v>
      </c>
      <c r="M333">
        <v>8</v>
      </c>
      <c r="N333">
        <v>224</v>
      </c>
      <c r="O333">
        <v>5.7142857142857144</v>
      </c>
      <c r="P333">
        <v>0</v>
      </c>
    </row>
    <row r="334" spans="1:16" x14ac:dyDescent="0.45">
      <c r="A334" t="s">
        <v>56</v>
      </c>
      <c r="B334" t="s">
        <v>29</v>
      </c>
      <c r="C334" t="s">
        <v>29</v>
      </c>
      <c r="D334" t="s">
        <v>49</v>
      </c>
      <c r="E334">
        <v>20</v>
      </c>
      <c r="F334">
        <v>40</v>
      </c>
      <c r="G334" t="s">
        <v>68</v>
      </c>
      <c r="H334" t="s">
        <v>44</v>
      </c>
      <c r="I334" s="24">
        <v>46045</v>
      </c>
      <c r="J334" t="s">
        <v>117</v>
      </c>
      <c r="K334" t="s">
        <v>117</v>
      </c>
      <c r="L334" t="s">
        <v>117</v>
      </c>
      <c r="M334">
        <v>8</v>
      </c>
      <c r="N334">
        <v>160</v>
      </c>
      <c r="O334">
        <v>5.7142857142857144</v>
      </c>
      <c r="P334">
        <v>0</v>
      </c>
    </row>
    <row r="335" spans="1:16" x14ac:dyDescent="0.45">
      <c r="A335" t="s">
        <v>57</v>
      </c>
      <c r="B335" t="s">
        <v>29</v>
      </c>
      <c r="C335" t="s">
        <v>29</v>
      </c>
      <c r="D335" t="s">
        <v>49</v>
      </c>
      <c r="E335">
        <v>20</v>
      </c>
      <c r="F335">
        <v>40</v>
      </c>
      <c r="G335" t="s">
        <v>68</v>
      </c>
      <c r="H335" t="s">
        <v>41</v>
      </c>
      <c r="I335" s="24">
        <v>46045</v>
      </c>
      <c r="J335" t="s">
        <v>117</v>
      </c>
      <c r="K335" t="s">
        <v>117</v>
      </c>
      <c r="L335" t="s">
        <v>117</v>
      </c>
      <c r="M335">
        <v>0</v>
      </c>
      <c r="N335">
        <v>0</v>
      </c>
      <c r="O335">
        <v>5.7142857142857144</v>
      </c>
      <c r="P335">
        <v>0</v>
      </c>
    </row>
    <row r="336" spans="1:16" x14ac:dyDescent="0.45">
      <c r="A336" t="s">
        <v>58</v>
      </c>
      <c r="B336" t="s">
        <v>29</v>
      </c>
      <c r="C336" t="s">
        <v>29</v>
      </c>
      <c r="D336" t="s">
        <v>49</v>
      </c>
      <c r="E336">
        <v>20</v>
      </c>
      <c r="F336">
        <v>40</v>
      </c>
      <c r="G336" t="s">
        <v>68</v>
      </c>
      <c r="H336" t="s">
        <v>46</v>
      </c>
      <c r="I336" s="24">
        <v>46045</v>
      </c>
      <c r="J336" t="s">
        <v>117</v>
      </c>
      <c r="K336" t="s">
        <v>117</v>
      </c>
      <c r="L336" t="s">
        <v>117</v>
      </c>
      <c r="M336">
        <v>4.9999999999999982</v>
      </c>
      <c r="N336">
        <v>99.999999999999972</v>
      </c>
      <c r="O336">
        <v>5.7142857142857144</v>
      </c>
      <c r="P336">
        <v>0</v>
      </c>
    </row>
    <row r="337" spans="1:16" x14ac:dyDescent="0.45">
      <c r="A337" t="s">
        <v>59</v>
      </c>
      <c r="B337" t="s">
        <v>29</v>
      </c>
      <c r="C337" t="s">
        <v>29</v>
      </c>
      <c r="D337" t="s">
        <v>60</v>
      </c>
      <c r="E337">
        <v>15</v>
      </c>
      <c r="F337">
        <v>20</v>
      </c>
      <c r="G337" t="s">
        <v>68</v>
      </c>
      <c r="H337" t="s">
        <v>46</v>
      </c>
      <c r="I337" s="24">
        <v>46045</v>
      </c>
      <c r="J337" t="s">
        <v>117</v>
      </c>
      <c r="K337" t="s">
        <v>117</v>
      </c>
      <c r="L337" t="s">
        <v>117</v>
      </c>
      <c r="M337">
        <v>4.9999999999999982</v>
      </c>
      <c r="N337">
        <v>74.999999999999972</v>
      </c>
      <c r="O337">
        <v>2.8571428571428572</v>
      </c>
      <c r="P337">
        <v>0</v>
      </c>
    </row>
    <row r="338" spans="1:16" x14ac:dyDescent="0.45">
      <c r="A338" t="s">
        <v>61</v>
      </c>
      <c r="B338" t="s">
        <v>29</v>
      </c>
      <c r="C338" t="s">
        <v>29</v>
      </c>
      <c r="D338" t="s">
        <v>60</v>
      </c>
      <c r="E338">
        <v>15</v>
      </c>
      <c r="F338">
        <v>20</v>
      </c>
      <c r="G338" t="s">
        <v>68</v>
      </c>
      <c r="H338" t="s">
        <v>46</v>
      </c>
      <c r="I338" s="24">
        <v>46045</v>
      </c>
      <c r="J338" t="s">
        <v>117</v>
      </c>
      <c r="K338" t="s">
        <v>117</v>
      </c>
      <c r="L338" t="s">
        <v>117</v>
      </c>
      <c r="M338">
        <v>4.9999999999999982</v>
      </c>
      <c r="N338">
        <v>74.999999999999972</v>
      </c>
      <c r="O338">
        <v>2.8571428571428572</v>
      </c>
      <c r="P338">
        <v>0</v>
      </c>
    </row>
    <row r="339" spans="1:16" x14ac:dyDescent="0.45">
      <c r="A339" t="s">
        <v>62</v>
      </c>
      <c r="B339" t="s">
        <v>29</v>
      </c>
      <c r="C339" t="s">
        <v>29</v>
      </c>
      <c r="D339" t="s">
        <v>60</v>
      </c>
      <c r="E339">
        <v>15</v>
      </c>
      <c r="F339">
        <v>20</v>
      </c>
      <c r="G339" t="s">
        <v>68</v>
      </c>
      <c r="H339" t="s">
        <v>39</v>
      </c>
      <c r="I339" s="24">
        <v>46045</v>
      </c>
      <c r="J339" t="s">
        <v>117</v>
      </c>
      <c r="K339" t="s">
        <v>117</v>
      </c>
      <c r="L339" t="s">
        <v>117</v>
      </c>
      <c r="M339">
        <v>4.9999999999999982</v>
      </c>
      <c r="N339">
        <v>74.999999999999972</v>
      </c>
      <c r="O339">
        <v>2.8571428571428572</v>
      </c>
      <c r="P339">
        <v>0</v>
      </c>
    </row>
    <row r="340" spans="1:16" x14ac:dyDescent="0.45">
      <c r="A340" t="s">
        <v>48</v>
      </c>
      <c r="B340" t="s">
        <v>30</v>
      </c>
      <c r="C340" t="s">
        <v>28</v>
      </c>
      <c r="D340" t="s">
        <v>49</v>
      </c>
      <c r="E340">
        <v>30</v>
      </c>
      <c r="F340">
        <v>40</v>
      </c>
      <c r="G340" t="s">
        <v>69</v>
      </c>
      <c r="H340" t="s">
        <v>37</v>
      </c>
      <c r="I340" s="24">
        <v>46046</v>
      </c>
      <c r="J340" t="s">
        <v>118</v>
      </c>
      <c r="K340" t="s">
        <v>117</v>
      </c>
      <c r="L340" t="s">
        <v>118</v>
      </c>
      <c r="M340">
        <v>7</v>
      </c>
      <c r="N340">
        <v>315</v>
      </c>
      <c r="O340">
        <v>5.7142857142857144</v>
      </c>
      <c r="P340">
        <v>1</v>
      </c>
    </row>
    <row r="341" spans="1:16" x14ac:dyDescent="0.45">
      <c r="A341" t="s">
        <v>50</v>
      </c>
      <c r="B341" t="s">
        <v>27</v>
      </c>
      <c r="C341" t="s">
        <v>28</v>
      </c>
      <c r="D341" t="s">
        <v>49</v>
      </c>
      <c r="E341">
        <v>25</v>
      </c>
      <c r="F341">
        <v>40</v>
      </c>
      <c r="G341" t="s">
        <v>69</v>
      </c>
      <c r="H341" t="s">
        <v>40</v>
      </c>
      <c r="I341" s="24">
        <v>46046</v>
      </c>
      <c r="J341" t="s">
        <v>118</v>
      </c>
      <c r="K341" t="s">
        <v>117</v>
      </c>
      <c r="L341" t="s">
        <v>118</v>
      </c>
      <c r="M341">
        <v>5</v>
      </c>
      <c r="N341">
        <v>187.5</v>
      </c>
      <c r="O341">
        <v>5.7142857142857144</v>
      </c>
      <c r="P341">
        <v>1</v>
      </c>
    </row>
    <row r="342" spans="1:16" x14ac:dyDescent="0.45">
      <c r="A342" t="s">
        <v>51</v>
      </c>
      <c r="B342" t="s">
        <v>27</v>
      </c>
      <c r="C342" t="s">
        <v>28</v>
      </c>
      <c r="D342" t="s">
        <v>49</v>
      </c>
      <c r="E342">
        <v>25</v>
      </c>
      <c r="F342">
        <v>40</v>
      </c>
      <c r="G342" t="s">
        <v>69</v>
      </c>
      <c r="H342" t="s">
        <v>35</v>
      </c>
      <c r="I342" s="24">
        <v>46046</v>
      </c>
      <c r="J342" t="s">
        <v>118</v>
      </c>
      <c r="K342" t="s">
        <v>117</v>
      </c>
      <c r="L342" t="s">
        <v>118</v>
      </c>
      <c r="M342">
        <v>7</v>
      </c>
      <c r="N342">
        <v>262.5</v>
      </c>
      <c r="O342">
        <v>5.7142857142857144</v>
      </c>
      <c r="P342">
        <v>1</v>
      </c>
    </row>
    <row r="343" spans="1:16" x14ac:dyDescent="0.45">
      <c r="A343" t="s">
        <v>52</v>
      </c>
      <c r="B343" t="s">
        <v>26</v>
      </c>
      <c r="C343" t="s">
        <v>26</v>
      </c>
      <c r="D343" t="s">
        <v>49</v>
      </c>
      <c r="E343">
        <v>35</v>
      </c>
      <c r="F343">
        <v>40</v>
      </c>
      <c r="G343" t="s">
        <v>69</v>
      </c>
      <c r="H343" t="s">
        <v>41</v>
      </c>
      <c r="I343" s="24">
        <v>46046</v>
      </c>
      <c r="J343" t="s">
        <v>118</v>
      </c>
      <c r="K343" t="s">
        <v>117</v>
      </c>
      <c r="L343" t="s">
        <v>118</v>
      </c>
      <c r="M343">
        <v>0</v>
      </c>
      <c r="N343">
        <v>0</v>
      </c>
      <c r="O343">
        <v>5.7142857142857144</v>
      </c>
      <c r="P343">
        <v>0</v>
      </c>
    </row>
    <row r="344" spans="1:16" x14ac:dyDescent="0.45">
      <c r="A344" t="s">
        <v>53</v>
      </c>
      <c r="B344" t="s">
        <v>26</v>
      </c>
      <c r="C344" t="s">
        <v>26</v>
      </c>
      <c r="D344" t="s">
        <v>49</v>
      </c>
      <c r="E344">
        <v>35</v>
      </c>
      <c r="F344">
        <v>40</v>
      </c>
      <c r="G344" t="s">
        <v>69</v>
      </c>
      <c r="H344" t="s">
        <v>42</v>
      </c>
      <c r="I344" s="24">
        <v>46046</v>
      </c>
      <c r="J344" t="s">
        <v>118</v>
      </c>
      <c r="K344" t="s">
        <v>117</v>
      </c>
      <c r="L344" t="s">
        <v>118</v>
      </c>
      <c r="M344">
        <v>7.9999999999999982</v>
      </c>
      <c r="N344">
        <v>419.99999999999989</v>
      </c>
      <c r="O344">
        <v>5.7142857142857144</v>
      </c>
      <c r="P344">
        <v>1</v>
      </c>
    </row>
    <row r="345" spans="1:16" x14ac:dyDescent="0.45">
      <c r="A345" t="s">
        <v>54</v>
      </c>
      <c r="B345" t="s">
        <v>25</v>
      </c>
      <c r="C345" t="s">
        <v>26</v>
      </c>
      <c r="D345" t="s">
        <v>49</v>
      </c>
      <c r="E345">
        <v>28</v>
      </c>
      <c r="F345">
        <v>40</v>
      </c>
      <c r="G345" t="s">
        <v>69</v>
      </c>
      <c r="H345" t="s">
        <v>44</v>
      </c>
      <c r="I345" s="24">
        <v>46046</v>
      </c>
      <c r="J345" t="s">
        <v>118</v>
      </c>
      <c r="K345" t="s">
        <v>117</v>
      </c>
      <c r="L345" t="s">
        <v>118</v>
      </c>
      <c r="M345">
        <v>8</v>
      </c>
      <c r="N345">
        <v>336</v>
      </c>
      <c r="O345">
        <v>5.7142857142857144</v>
      </c>
      <c r="P345">
        <v>1</v>
      </c>
    </row>
    <row r="346" spans="1:16" x14ac:dyDescent="0.45">
      <c r="A346" t="s">
        <v>55</v>
      </c>
      <c r="B346" t="s">
        <v>25</v>
      </c>
      <c r="C346" t="s">
        <v>26</v>
      </c>
      <c r="D346" t="s">
        <v>49</v>
      </c>
      <c r="E346">
        <v>28</v>
      </c>
      <c r="F346">
        <v>40</v>
      </c>
      <c r="G346" t="s">
        <v>69</v>
      </c>
      <c r="H346" t="s">
        <v>41</v>
      </c>
      <c r="I346" s="24">
        <v>46046</v>
      </c>
      <c r="J346" t="s">
        <v>118</v>
      </c>
      <c r="K346" t="s">
        <v>117</v>
      </c>
      <c r="L346" t="s">
        <v>118</v>
      </c>
      <c r="M346">
        <v>0</v>
      </c>
      <c r="N346">
        <v>0</v>
      </c>
      <c r="O346">
        <v>5.7142857142857144</v>
      </c>
      <c r="P346">
        <v>0</v>
      </c>
    </row>
    <row r="347" spans="1:16" x14ac:dyDescent="0.45">
      <c r="A347" t="s">
        <v>56</v>
      </c>
      <c r="B347" t="s">
        <v>29</v>
      </c>
      <c r="C347" t="s">
        <v>29</v>
      </c>
      <c r="D347" t="s">
        <v>49</v>
      </c>
      <c r="E347">
        <v>20</v>
      </c>
      <c r="F347">
        <v>40</v>
      </c>
      <c r="G347" t="s">
        <v>69</v>
      </c>
      <c r="H347" t="s">
        <v>45</v>
      </c>
      <c r="I347" s="24">
        <v>46046</v>
      </c>
      <c r="J347" t="s">
        <v>118</v>
      </c>
      <c r="K347" t="s">
        <v>117</v>
      </c>
      <c r="L347" t="s">
        <v>118</v>
      </c>
      <c r="M347">
        <v>7.9999999999999982</v>
      </c>
      <c r="N347">
        <v>239.99999999999994</v>
      </c>
      <c r="O347">
        <v>5.7142857142857144</v>
      </c>
      <c r="P347">
        <v>1</v>
      </c>
    </row>
    <row r="348" spans="1:16" x14ac:dyDescent="0.45">
      <c r="A348" t="s">
        <v>57</v>
      </c>
      <c r="B348" t="s">
        <v>29</v>
      </c>
      <c r="C348" t="s">
        <v>29</v>
      </c>
      <c r="D348" t="s">
        <v>49</v>
      </c>
      <c r="E348">
        <v>20</v>
      </c>
      <c r="F348">
        <v>40</v>
      </c>
      <c r="G348" t="s">
        <v>69</v>
      </c>
      <c r="H348" t="s">
        <v>41</v>
      </c>
      <c r="I348" s="24">
        <v>46046</v>
      </c>
      <c r="J348" t="s">
        <v>118</v>
      </c>
      <c r="K348" t="s">
        <v>117</v>
      </c>
      <c r="L348" t="s">
        <v>118</v>
      </c>
      <c r="M348">
        <v>0</v>
      </c>
      <c r="N348">
        <v>0</v>
      </c>
      <c r="O348">
        <v>5.7142857142857144</v>
      </c>
      <c r="P348">
        <v>0</v>
      </c>
    </row>
    <row r="349" spans="1:16" x14ac:dyDescent="0.45">
      <c r="A349" t="s">
        <v>58</v>
      </c>
      <c r="B349" t="s">
        <v>29</v>
      </c>
      <c r="C349" t="s">
        <v>29</v>
      </c>
      <c r="D349" t="s">
        <v>49</v>
      </c>
      <c r="E349">
        <v>20</v>
      </c>
      <c r="F349">
        <v>40</v>
      </c>
      <c r="G349" t="s">
        <v>69</v>
      </c>
      <c r="H349" t="s">
        <v>44</v>
      </c>
      <c r="I349" s="24">
        <v>46046</v>
      </c>
      <c r="J349" t="s">
        <v>118</v>
      </c>
      <c r="K349" t="s">
        <v>117</v>
      </c>
      <c r="L349" t="s">
        <v>118</v>
      </c>
      <c r="M349">
        <v>8</v>
      </c>
      <c r="N349">
        <v>240</v>
      </c>
      <c r="O349">
        <v>5.7142857142857144</v>
      </c>
      <c r="P349">
        <v>1</v>
      </c>
    </row>
    <row r="350" spans="1:16" x14ac:dyDescent="0.45">
      <c r="A350" t="s">
        <v>59</v>
      </c>
      <c r="B350" t="s">
        <v>29</v>
      </c>
      <c r="C350" t="s">
        <v>29</v>
      </c>
      <c r="D350" t="s">
        <v>60</v>
      </c>
      <c r="E350">
        <v>15</v>
      </c>
      <c r="F350">
        <v>20</v>
      </c>
      <c r="G350" t="s">
        <v>69</v>
      </c>
      <c r="H350" t="s">
        <v>41</v>
      </c>
      <c r="I350" s="24">
        <v>46046</v>
      </c>
      <c r="J350" t="s">
        <v>118</v>
      </c>
      <c r="K350" t="s">
        <v>117</v>
      </c>
      <c r="L350" t="s">
        <v>118</v>
      </c>
      <c r="M350">
        <v>0</v>
      </c>
      <c r="N350">
        <v>0</v>
      </c>
      <c r="O350">
        <v>2.8571428571428572</v>
      </c>
      <c r="P350">
        <v>0</v>
      </c>
    </row>
    <row r="351" spans="1:16" x14ac:dyDescent="0.45">
      <c r="A351" t="s">
        <v>61</v>
      </c>
      <c r="B351" t="s">
        <v>29</v>
      </c>
      <c r="C351" t="s">
        <v>29</v>
      </c>
      <c r="D351" t="s">
        <v>60</v>
      </c>
      <c r="E351">
        <v>15</v>
      </c>
      <c r="F351">
        <v>20</v>
      </c>
      <c r="G351" t="s">
        <v>69</v>
      </c>
      <c r="H351" t="s">
        <v>41</v>
      </c>
      <c r="I351" s="24">
        <v>46046</v>
      </c>
      <c r="J351" t="s">
        <v>118</v>
      </c>
      <c r="K351" t="s">
        <v>117</v>
      </c>
      <c r="L351" t="s">
        <v>118</v>
      </c>
      <c r="M351">
        <v>0</v>
      </c>
      <c r="N351">
        <v>0</v>
      </c>
      <c r="O351">
        <v>2.8571428571428572</v>
      </c>
      <c r="P351">
        <v>0</v>
      </c>
    </row>
    <row r="352" spans="1:16" x14ac:dyDescent="0.45">
      <c r="A352" t="s">
        <v>62</v>
      </c>
      <c r="B352" t="s">
        <v>29</v>
      </c>
      <c r="C352" t="s">
        <v>29</v>
      </c>
      <c r="D352" t="s">
        <v>60</v>
      </c>
      <c r="E352">
        <v>15</v>
      </c>
      <c r="F352">
        <v>20</v>
      </c>
      <c r="G352" t="s">
        <v>69</v>
      </c>
      <c r="H352" t="s">
        <v>40</v>
      </c>
      <c r="I352" s="24">
        <v>46046</v>
      </c>
      <c r="J352" t="s">
        <v>118</v>
      </c>
      <c r="K352" t="s">
        <v>117</v>
      </c>
      <c r="L352" t="s">
        <v>118</v>
      </c>
      <c r="M352">
        <v>5</v>
      </c>
      <c r="N352">
        <v>112.5</v>
      </c>
      <c r="O352">
        <v>2.8571428571428572</v>
      </c>
      <c r="P352">
        <v>1</v>
      </c>
    </row>
    <row r="353" spans="1:16" x14ac:dyDescent="0.45">
      <c r="A353" t="s">
        <v>48</v>
      </c>
      <c r="B353" t="s">
        <v>30</v>
      </c>
      <c r="C353" t="s">
        <v>28</v>
      </c>
      <c r="D353" t="s">
        <v>49</v>
      </c>
      <c r="E353">
        <v>30</v>
      </c>
      <c r="F353">
        <v>40</v>
      </c>
      <c r="G353" t="s">
        <v>70</v>
      </c>
      <c r="H353" t="s">
        <v>41</v>
      </c>
      <c r="I353" s="24">
        <v>46047</v>
      </c>
      <c r="J353" t="s">
        <v>118</v>
      </c>
      <c r="K353" t="s">
        <v>117</v>
      </c>
      <c r="L353" t="s">
        <v>118</v>
      </c>
      <c r="M353">
        <v>0</v>
      </c>
      <c r="N353">
        <v>0</v>
      </c>
      <c r="O353">
        <v>5.7142857142857144</v>
      </c>
      <c r="P353">
        <v>0</v>
      </c>
    </row>
    <row r="354" spans="1:16" x14ac:dyDescent="0.45">
      <c r="A354" t="s">
        <v>50</v>
      </c>
      <c r="B354" t="s">
        <v>27</v>
      </c>
      <c r="C354" t="s">
        <v>28</v>
      </c>
      <c r="D354" t="s">
        <v>49</v>
      </c>
      <c r="E354">
        <v>25</v>
      </c>
      <c r="F354">
        <v>40</v>
      </c>
      <c r="G354" t="s">
        <v>70</v>
      </c>
      <c r="H354" t="s">
        <v>37</v>
      </c>
      <c r="I354" s="24">
        <v>46047</v>
      </c>
      <c r="J354" t="s">
        <v>118</v>
      </c>
      <c r="K354" t="s">
        <v>117</v>
      </c>
      <c r="L354" t="s">
        <v>118</v>
      </c>
      <c r="M354">
        <v>7</v>
      </c>
      <c r="N354">
        <v>262.5</v>
      </c>
      <c r="O354">
        <v>5.7142857142857144</v>
      </c>
      <c r="P354">
        <v>1</v>
      </c>
    </row>
    <row r="355" spans="1:16" x14ac:dyDescent="0.45">
      <c r="A355" t="s">
        <v>51</v>
      </c>
      <c r="B355" t="s">
        <v>27</v>
      </c>
      <c r="C355" t="s">
        <v>28</v>
      </c>
      <c r="D355" t="s">
        <v>49</v>
      </c>
      <c r="E355">
        <v>25</v>
      </c>
      <c r="F355">
        <v>40</v>
      </c>
      <c r="G355" t="s">
        <v>70</v>
      </c>
      <c r="H355" t="s">
        <v>35</v>
      </c>
      <c r="I355" s="24">
        <v>46047</v>
      </c>
      <c r="J355" t="s">
        <v>118</v>
      </c>
      <c r="K355" t="s">
        <v>117</v>
      </c>
      <c r="L355" t="s">
        <v>118</v>
      </c>
      <c r="M355">
        <v>7</v>
      </c>
      <c r="N355">
        <v>262.5</v>
      </c>
      <c r="O355">
        <v>5.7142857142857144</v>
      </c>
      <c r="P355">
        <v>1</v>
      </c>
    </row>
    <row r="356" spans="1:16" x14ac:dyDescent="0.45">
      <c r="A356" t="s">
        <v>52</v>
      </c>
      <c r="B356" t="s">
        <v>26</v>
      </c>
      <c r="C356" t="s">
        <v>26</v>
      </c>
      <c r="D356" t="s">
        <v>49</v>
      </c>
      <c r="E356">
        <v>35</v>
      </c>
      <c r="F356">
        <v>40</v>
      </c>
      <c r="G356" t="s">
        <v>70</v>
      </c>
      <c r="H356" t="s">
        <v>41</v>
      </c>
      <c r="I356" s="24">
        <v>46047</v>
      </c>
      <c r="J356" t="s">
        <v>118</v>
      </c>
      <c r="K356" t="s">
        <v>117</v>
      </c>
      <c r="L356" t="s">
        <v>118</v>
      </c>
      <c r="M356">
        <v>0</v>
      </c>
      <c r="N356">
        <v>0</v>
      </c>
      <c r="O356">
        <v>5.7142857142857144</v>
      </c>
      <c r="P356">
        <v>0</v>
      </c>
    </row>
    <row r="357" spans="1:16" x14ac:dyDescent="0.45">
      <c r="A357" t="s">
        <v>53</v>
      </c>
      <c r="B357" t="s">
        <v>26</v>
      </c>
      <c r="C357" t="s">
        <v>26</v>
      </c>
      <c r="D357" t="s">
        <v>49</v>
      </c>
      <c r="E357">
        <v>35</v>
      </c>
      <c r="F357">
        <v>40</v>
      </c>
      <c r="G357" t="s">
        <v>70</v>
      </c>
      <c r="H357" t="s">
        <v>42</v>
      </c>
      <c r="I357" s="24">
        <v>46047</v>
      </c>
      <c r="J357" t="s">
        <v>118</v>
      </c>
      <c r="K357" t="s">
        <v>117</v>
      </c>
      <c r="L357" t="s">
        <v>118</v>
      </c>
      <c r="M357">
        <v>7.9999999999999982</v>
      </c>
      <c r="N357">
        <v>419.99999999999989</v>
      </c>
      <c r="O357">
        <v>5.7142857142857144</v>
      </c>
      <c r="P357">
        <v>1</v>
      </c>
    </row>
    <row r="358" spans="1:16" x14ac:dyDescent="0.45">
      <c r="A358" t="s">
        <v>54</v>
      </c>
      <c r="B358" t="s">
        <v>25</v>
      </c>
      <c r="C358" t="s">
        <v>26</v>
      </c>
      <c r="D358" t="s">
        <v>49</v>
      </c>
      <c r="E358">
        <v>28</v>
      </c>
      <c r="F358">
        <v>40</v>
      </c>
      <c r="G358" t="s">
        <v>70</v>
      </c>
      <c r="H358" t="s">
        <v>44</v>
      </c>
      <c r="I358" s="24">
        <v>46047</v>
      </c>
      <c r="J358" t="s">
        <v>118</v>
      </c>
      <c r="K358" t="s">
        <v>117</v>
      </c>
      <c r="L358" t="s">
        <v>118</v>
      </c>
      <c r="M358">
        <v>8</v>
      </c>
      <c r="N358">
        <v>336</v>
      </c>
      <c r="O358">
        <v>5.7142857142857144</v>
      </c>
      <c r="P358">
        <v>1</v>
      </c>
    </row>
    <row r="359" spans="1:16" x14ac:dyDescent="0.45">
      <c r="A359" t="s">
        <v>55</v>
      </c>
      <c r="B359" t="s">
        <v>25</v>
      </c>
      <c r="C359" t="s">
        <v>26</v>
      </c>
      <c r="D359" t="s">
        <v>49</v>
      </c>
      <c r="E359">
        <v>28</v>
      </c>
      <c r="F359">
        <v>40</v>
      </c>
      <c r="G359" t="s">
        <v>70</v>
      </c>
      <c r="H359" t="s">
        <v>41</v>
      </c>
      <c r="I359" s="24">
        <v>46047</v>
      </c>
      <c r="J359" t="s">
        <v>118</v>
      </c>
      <c r="K359" t="s">
        <v>117</v>
      </c>
      <c r="L359" t="s">
        <v>118</v>
      </c>
      <c r="M359">
        <v>0</v>
      </c>
      <c r="N359">
        <v>0</v>
      </c>
      <c r="O359">
        <v>5.7142857142857144</v>
      </c>
      <c r="P359">
        <v>0</v>
      </c>
    </row>
    <row r="360" spans="1:16" x14ac:dyDescent="0.45">
      <c r="A360" t="s">
        <v>56</v>
      </c>
      <c r="B360" t="s">
        <v>29</v>
      </c>
      <c r="C360" t="s">
        <v>29</v>
      </c>
      <c r="D360" t="s">
        <v>49</v>
      </c>
      <c r="E360">
        <v>20</v>
      </c>
      <c r="F360">
        <v>40</v>
      </c>
      <c r="G360" t="s">
        <v>70</v>
      </c>
      <c r="H360" t="s">
        <v>45</v>
      </c>
      <c r="I360" s="24">
        <v>46047</v>
      </c>
      <c r="J360" t="s">
        <v>118</v>
      </c>
      <c r="K360" t="s">
        <v>117</v>
      </c>
      <c r="L360" t="s">
        <v>118</v>
      </c>
      <c r="M360">
        <v>7.9999999999999982</v>
      </c>
      <c r="N360">
        <v>239.99999999999994</v>
      </c>
      <c r="O360">
        <v>5.7142857142857144</v>
      </c>
      <c r="P360">
        <v>1</v>
      </c>
    </row>
    <row r="361" spans="1:16" x14ac:dyDescent="0.45">
      <c r="A361" t="s">
        <v>57</v>
      </c>
      <c r="B361" t="s">
        <v>29</v>
      </c>
      <c r="C361" t="s">
        <v>29</v>
      </c>
      <c r="D361" t="s">
        <v>49</v>
      </c>
      <c r="E361">
        <v>20</v>
      </c>
      <c r="F361">
        <v>40</v>
      </c>
      <c r="G361" t="s">
        <v>70</v>
      </c>
      <c r="H361" t="s">
        <v>41</v>
      </c>
      <c r="I361" s="24">
        <v>46047</v>
      </c>
      <c r="J361" t="s">
        <v>118</v>
      </c>
      <c r="K361" t="s">
        <v>117</v>
      </c>
      <c r="L361" t="s">
        <v>118</v>
      </c>
      <c r="M361">
        <v>0</v>
      </c>
      <c r="N361">
        <v>0</v>
      </c>
      <c r="O361">
        <v>5.7142857142857144</v>
      </c>
      <c r="P361">
        <v>0</v>
      </c>
    </row>
    <row r="362" spans="1:16" x14ac:dyDescent="0.45">
      <c r="A362" t="s">
        <v>58</v>
      </c>
      <c r="B362" t="s">
        <v>29</v>
      </c>
      <c r="C362" t="s">
        <v>29</v>
      </c>
      <c r="D362" t="s">
        <v>49</v>
      </c>
      <c r="E362">
        <v>20</v>
      </c>
      <c r="F362">
        <v>40</v>
      </c>
      <c r="G362" t="s">
        <v>70</v>
      </c>
      <c r="H362" t="s">
        <v>44</v>
      </c>
      <c r="I362" s="24">
        <v>46047</v>
      </c>
      <c r="J362" t="s">
        <v>118</v>
      </c>
      <c r="K362" t="s">
        <v>117</v>
      </c>
      <c r="L362" t="s">
        <v>118</v>
      </c>
      <c r="M362">
        <v>8</v>
      </c>
      <c r="N362">
        <v>240</v>
      </c>
      <c r="O362">
        <v>5.7142857142857144</v>
      </c>
      <c r="P362">
        <v>1</v>
      </c>
    </row>
    <row r="363" spans="1:16" x14ac:dyDescent="0.45">
      <c r="A363" t="s">
        <v>59</v>
      </c>
      <c r="B363" t="s">
        <v>29</v>
      </c>
      <c r="C363" t="s">
        <v>29</v>
      </c>
      <c r="D363" t="s">
        <v>60</v>
      </c>
      <c r="E363">
        <v>15</v>
      </c>
      <c r="F363">
        <v>20</v>
      </c>
      <c r="G363" t="s">
        <v>70</v>
      </c>
      <c r="H363" t="s">
        <v>41</v>
      </c>
      <c r="I363" s="24">
        <v>46047</v>
      </c>
      <c r="J363" t="s">
        <v>118</v>
      </c>
      <c r="K363" t="s">
        <v>117</v>
      </c>
      <c r="L363" t="s">
        <v>118</v>
      </c>
      <c r="M363">
        <v>0</v>
      </c>
      <c r="N363">
        <v>0</v>
      </c>
      <c r="O363">
        <v>2.8571428571428572</v>
      </c>
      <c r="P363">
        <v>0</v>
      </c>
    </row>
    <row r="364" spans="1:16" x14ac:dyDescent="0.45">
      <c r="A364" t="s">
        <v>61</v>
      </c>
      <c r="B364" t="s">
        <v>29</v>
      </c>
      <c r="C364" t="s">
        <v>29</v>
      </c>
      <c r="D364" t="s">
        <v>60</v>
      </c>
      <c r="E364">
        <v>15</v>
      </c>
      <c r="F364">
        <v>20</v>
      </c>
      <c r="G364" t="s">
        <v>70</v>
      </c>
      <c r="H364" t="s">
        <v>41</v>
      </c>
      <c r="I364" s="24">
        <v>46047</v>
      </c>
      <c r="J364" t="s">
        <v>118</v>
      </c>
      <c r="K364" t="s">
        <v>117</v>
      </c>
      <c r="L364" t="s">
        <v>118</v>
      </c>
      <c r="M364">
        <v>0</v>
      </c>
      <c r="N364">
        <v>0</v>
      </c>
      <c r="O364">
        <v>2.8571428571428572</v>
      </c>
      <c r="P364">
        <v>0</v>
      </c>
    </row>
    <row r="365" spans="1:16" x14ac:dyDescent="0.45">
      <c r="A365" t="s">
        <v>62</v>
      </c>
      <c r="B365" t="s">
        <v>29</v>
      </c>
      <c r="C365" t="s">
        <v>29</v>
      </c>
      <c r="D365" t="s">
        <v>60</v>
      </c>
      <c r="E365">
        <v>15</v>
      </c>
      <c r="F365">
        <v>20</v>
      </c>
      <c r="G365" t="s">
        <v>70</v>
      </c>
      <c r="H365" t="s">
        <v>46</v>
      </c>
      <c r="I365" s="24">
        <v>46047</v>
      </c>
      <c r="J365" t="s">
        <v>118</v>
      </c>
      <c r="K365" t="s">
        <v>117</v>
      </c>
      <c r="L365" t="s">
        <v>118</v>
      </c>
      <c r="M365">
        <v>4.9999999999999982</v>
      </c>
      <c r="N365">
        <v>112.49999999999996</v>
      </c>
      <c r="O365">
        <v>2.8571428571428572</v>
      </c>
      <c r="P365">
        <v>1</v>
      </c>
    </row>
    <row r="366" spans="1:16" x14ac:dyDescent="0.45">
      <c r="A366" t="s">
        <v>48</v>
      </c>
      <c r="B366" t="s">
        <v>30</v>
      </c>
      <c r="C366" t="s">
        <v>28</v>
      </c>
      <c r="D366" t="s">
        <v>49</v>
      </c>
      <c r="E366">
        <v>30</v>
      </c>
      <c r="F366">
        <v>40</v>
      </c>
      <c r="G366" t="s">
        <v>64</v>
      </c>
      <c r="H366" t="s">
        <v>35</v>
      </c>
      <c r="I366" s="24">
        <v>46048</v>
      </c>
      <c r="J366" t="s">
        <v>117</v>
      </c>
      <c r="K366" t="s">
        <v>117</v>
      </c>
      <c r="L366" t="s">
        <v>117</v>
      </c>
      <c r="M366">
        <v>7</v>
      </c>
      <c r="N366">
        <v>210</v>
      </c>
      <c r="O366">
        <v>5.7142857142857144</v>
      </c>
      <c r="P366">
        <v>0</v>
      </c>
    </row>
    <row r="367" spans="1:16" x14ac:dyDescent="0.45">
      <c r="A367" t="s">
        <v>50</v>
      </c>
      <c r="B367" t="s">
        <v>27</v>
      </c>
      <c r="C367" t="s">
        <v>28</v>
      </c>
      <c r="D367" t="s">
        <v>49</v>
      </c>
      <c r="E367">
        <v>25</v>
      </c>
      <c r="F367">
        <v>40</v>
      </c>
      <c r="G367" t="s">
        <v>64</v>
      </c>
      <c r="H367" t="s">
        <v>37</v>
      </c>
      <c r="I367" s="24">
        <v>46048</v>
      </c>
      <c r="J367" t="s">
        <v>117</v>
      </c>
      <c r="K367" t="s">
        <v>117</v>
      </c>
      <c r="L367" t="s">
        <v>117</v>
      </c>
      <c r="M367">
        <v>7</v>
      </c>
      <c r="N367">
        <v>175</v>
      </c>
      <c r="O367">
        <v>5.7142857142857144</v>
      </c>
      <c r="P367">
        <v>0</v>
      </c>
    </row>
    <row r="368" spans="1:16" x14ac:dyDescent="0.45">
      <c r="A368" t="s">
        <v>51</v>
      </c>
      <c r="B368" t="s">
        <v>27</v>
      </c>
      <c r="C368" t="s">
        <v>28</v>
      </c>
      <c r="D368" t="s">
        <v>49</v>
      </c>
      <c r="E368">
        <v>25</v>
      </c>
      <c r="F368">
        <v>40</v>
      </c>
      <c r="G368" t="s">
        <v>64</v>
      </c>
      <c r="H368" t="s">
        <v>41</v>
      </c>
      <c r="I368" s="24">
        <v>46048</v>
      </c>
      <c r="J368" t="s">
        <v>117</v>
      </c>
      <c r="K368" t="s">
        <v>117</v>
      </c>
      <c r="L368" t="s">
        <v>117</v>
      </c>
      <c r="M368">
        <v>0</v>
      </c>
      <c r="N368">
        <v>0</v>
      </c>
      <c r="O368">
        <v>5.7142857142857144</v>
      </c>
      <c r="P368">
        <v>0</v>
      </c>
    </row>
    <row r="369" spans="1:16" x14ac:dyDescent="0.45">
      <c r="A369" t="s">
        <v>52</v>
      </c>
      <c r="B369" t="s">
        <v>26</v>
      </c>
      <c r="C369" t="s">
        <v>26</v>
      </c>
      <c r="D369" t="s">
        <v>49</v>
      </c>
      <c r="E369">
        <v>35</v>
      </c>
      <c r="F369">
        <v>40</v>
      </c>
      <c r="G369" t="s">
        <v>64</v>
      </c>
      <c r="H369" t="s">
        <v>42</v>
      </c>
      <c r="I369" s="24">
        <v>46048</v>
      </c>
      <c r="J369" t="s">
        <v>117</v>
      </c>
      <c r="K369" t="s">
        <v>117</v>
      </c>
      <c r="L369" t="s">
        <v>117</v>
      </c>
      <c r="M369">
        <v>7.9999999999999982</v>
      </c>
      <c r="N369">
        <v>279.99999999999994</v>
      </c>
      <c r="O369">
        <v>5.7142857142857144</v>
      </c>
      <c r="P369">
        <v>0</v>
      </c>
    </row>
    <row r="370" spans="1:16" x14ac:dyDescent="0.45">
      <c r="A370" t="s">
        <v>53</v>
      </c>
      <c r="B370" t="s">
        <v>26</v>
      </c>
      <c r="C370" t="s">
        <v>26</v>
      </c>
      <c r="D370" t="s">
        <v>49</v>
      </c>
      <c r="E370">
        <v>35</v>
      </c>
      <c r="F370">
        <v>40</v>
      </c>
      <c r="G370" t="s">
        <v>64</v>
      </c>
      <c r="H370" t="s">
        <v>44</v>
      </c>
      <c r="I370" s="24">
        <v>46048</v>
      </c>
      <c r="J370" t="s">
        <v>117</v>
      </c>
      <c r="K370" t="s">
        <v>117</v>
      </c>
      <c r="L370" t="s">
        <v>117</v>
      </c>
      <c r="M370">
        <v>8</v>
      </c>
      <c r="N370">
        <v>280</v>
      </c>
      <c r="O370">
        <v>5.7142857142857144</v>
      </c>
      <c r="P370">
        <v>0</v>
      </c>
    </row>
    <row r="371" spans="1:16" x14ac:dyDescent="0.45">
      <c r="A371" t="s">
        <v>54</v>
      </c>
      <c r="B371" t="s">
        <v>25</v>
      </c>
      <c r="C371" t="s">
        <v>26</v>
      </c>
      <c r="D371" t="s">
        <v>49</v>
      </c>
      <c r="E371">
        <v>28</v>
      </c>
      <c r="F371">
        <v>40</v>
      </c>
      <c r="G371" t="s">
        <v>64</v>
      </c>
      <c r="H371" t="s">
        <v>41</v>
      </c>
      <c r="I371" s="24">
        <v>46048</v>
      </c>
      <c r="J371" t="s">
        <v>117</v>
      </c>
      <c r="K371" t="s">
        <v>117</v>
      </c>
      <c r="L371" t="s">
        <v>117</v>
      </c>
      <c r="M371">
        <v>0</v>
      </c>
      <c r="N371">
        <v>0</v>
      </c>
      <c r="O371">
        <v>5.7142857142857144</v>
      </c>
      <c r="P371">
        <v>0</v>
      </c>
    </row>
    <row r="372" spans="1:16" x14ac:dyDescent="0.45">
      <c r="A372" t="s">
        <v>55</v>
      </c>
      <c r="B372" t="s">
        <v>25</v>
      </c>
      <c r="C372" t="s">
        <v>26</v>
      </c>
      <c r="D372" t="s">
        <v>49</v>
      </c>
      <c r="E372">
        <v>28</v>
      </c>
      <c r="F372">
        <v>40</v>
      </c>
      <c r="G372" t="s">
        <v>64</v>
      </c>
      <c r="H372" t="s">
        <v>44</v>
      </c>
      <c r="I372" s="24">
        <v>46048</v>
      </c>
      <c r="J372" t="s">
        <v>117</v>
      </c>
      <c r="K372" t="s">
        <v>117</v>
      </c>
      <c r="L372" t="s">
        <v>117</v>
      </c>
      <c r="M372">
        <v>8</v>
      </c>
      <c r="N372">
        <v>224</v>
      </c>
      <c r="O372">
        <v>5.7142857142857144</v>
      </c>
      <c r="P372">
        <v>0</v>
      </c>
    </row>
    <row r="373" spans="1:16" x14ac:dyDescent="0.45">
      <c r="A373" t="s">
        <v>56</v>
      </c>
      <c r="B373" t="s">
        <v>29</v>
      </c>
      <c r="C373" t="s">
        <v>29</v>
      </c>
      <c r="D373" t="s">
        <v>49</v>
      </c>
      <c r="E373">
        <v>20</v>
      </c>
      <c r="F373">
        <v>40</v>
      </c>
      <c r="G373" t="s">
        <v>64</v>
      </c>
      <c r="H373" t="s">
        <v>45</v>
      </c>
      <c r="I373" s="24">
        <v>46048</v>
      </c>
      <c r="J373" t="s">
        <v>117</v>
      </c>
      <c r="K373" t="s">
        <v>117</v>
      </c>
      <c r="L373" t="s">
        <v>117</v>
      </c>
      <c r="M373">
        <v>7.9999999999999982</v>
      </c>
      <c r="N373">
        <v>159.99999999999997</v>
      </c>
      <c r="O373">
        <v>5.7142857142857144</v>
      </c>
      <c r="P373">
        <v>0</v>
      </c>
    </row>
    <row r="374" spans="1:16" x14ac:dyDescent="0.45">
      <c r="A374" t="s">
        <v>57</v>
      </c>
      <c r="B374" t="s">
        <v>29</v>
      </c>
      <c r="C374" t="s">
        <v>29</v>
      </c>
      <c r="D374" t="s">
        <v>49</v>
      </c>
      <c r="E374">
        <v>20</v>
      </c>
      <c r="F374">
        <v>40</v>
      </c>
      <c r="G374" t="s">
        <v>64</v>
      </c>
      <c r="H374" t="s">
        <v>44</v>
      </c>
      <c r="I374" s="24">
        <v>46048</v>
      </c>
      <c r="J374" t="s">
        <v>117</v>
      </c>
      <c r="K374" t="s">
        <v>117</v>
      </c>
      <c r="L374" t="s">
        <v>117</v>
      </c>
      <c r="M374">
        <v>8</v>
      </c>
      <c r="N374">
        <v>160</v>
      </c>
      <c r="O374">
        <v>5.7142857142857144</v>
      </c>
      <c r="P374">
        <v>0</v>
      </c>
    </row>
    <row r="375" spans="1:16" x14ac:dyDescent="0.45">
      <c r="A375" t="s">
        <v>58</v>
      </c>
      <c r="B375" t="s">
        <v>29</v>
      </c>
      <c r="C375" t="s">
        <v>29</v>
      </c>
      <c r="D375" t="s">
        <v>49</v>
      </c>
      <c r="E375">
        <v>20</v>
      </c>
      <c r="F375">
        <v>40</v>
      </c>
      <c r="G375" t="s">
        <v>64</v>
      </c>
      <c r="H375" t="s">
        <v>41</v>
      </c>
      <c r="I375" s="24">
        <v>46048</v>
      </c>
      <c r="J375" t="s">
        <v>117</v>
      </c>
      <c r="K375" t="s">
        <v>117</v>
      </c>
      <c r="L375" t="s">
        <v>117</v>
      </c>
      <c r="M375">
        <v>0</v>
      </c>
      <c r="N375">
        <v>0</v>
      </c>
      <c r="O375">
        <v>5.7142857142857144</v>
      </c>
      <c r="P375">
        <v>0</v>
      </c>
    </row>
    <row r="376" spans="1:16" x14ac:dyDescent="0.45">
      <c r="A376" t="s">
        <v>59</v>
      </c>
      <c r="B376" t="s">
        <v>29</v>
      </c>
      <c r="C376" t="s">
        <v>29</v>
      </c>
      <c r="D376" t="s">
        <v>60</v>
      </c>
      <c r="E376">
        <v>15</v>
      </c>
      <c r="F376">
        <v>20</v>
      </c>
      <c r="G376" t="s">
        <v>64</v>
      </c>
      <c r="H376" t="s">
        <v>41</v>
      </c>
      <c r="I376" s="24">
        <v>46048</v>
      </c>
      <c r="J376" t="s">
        <v>117</v>
      </c>
      <c r="K376" t="s">
        <v>117</v>
      </c>
      <c r="L376" t="s">
        <v>117</v>
      </c>
      <c r="M376">
        <v>0</v>
      </c>
      <c r="N376">
        <v>0</v>
      </c>
      <c r="O376">
        <v>2.8571428571428572</v>
      </c>
      <c r="P376">
        <v>0</v>
      </c>
    </row>
    <row r="377" spans="1:16" x14ac:dyDescent="0.45">
      <c r="A377" t="s">
        <v>61</v>
      </c>
      <c r="B377" t="s">
        <v>29</v>
      </c>
      <c r="C377" t="s">
        <v>29</v>
      </c>
      <c r="D377" t="s">
        <v>60</v>
      </c>
      <c r="E377">
        <v>15</v>
      </c>
      <c r="F377">
        <v>20</v>
      </c>
      <c r="G377" t="s">
        <v>64</v>
      </c>
      <c r="H377" t="s">
        <v>46</v>
      </c>
      <c r="I377" s="24">
        <v>46048</v>
      </c>
      <c r="J377" t="s">
        <v>117</v>
      </c>
      <c r="K377" t="s">
        <v>117</v>
      </c>
      <c r="L377" t="s">
        <v>117</v>
      </c>
      <c r="M377">
        <v>4.9999999999999982</v>
      </c>
      <c r="N377">
        <v>74.999999999999972</v>
      </c>
      <c r="O377">
        <v>2.8571428571428572</v>
      </c>
      <c r="P377">
        <v>0</v>
      </c>
    </row>
    <row r="378" spans="1:16" x14ac:dyDescent="0.45">
      <c r="A378" t="s">
        <v>62</v>
      </c>
      <c r="B378" t="s">
        <v>29</v>
      </c>
      <c r="C378" t="s">
        <v>29</v>
      </c>
      <c r="D378" t="s">
        <v>60</v>
      </c>
      <c r="E378">
        <v>15</v>
      </c>
      <c r="F378">
        <v>20</v>
      </c>
      <c r="G378" t="s">
        <v>64</v>
      </c>
      <c r="H378" t="s">
        <v>40</v>
      </c>
      <c r="I378" s="24">
        <v>46048</v>
      </c>
      <c r="J378" t="s">
        <v>117</v>
      </c>
      <c r="K378" t="s">
        <v>117</v>
      </c>
      <c r="L378" t="s">
        <v>117</v>
      </c>
      <c r="M378">
        <v>5</v>
      </c>
      <c r="N378">
        <v>75</v>
      </c>
      <c r="O378">
        <v>2.8571428571428572</v>
      </c>
      <c r="P378">
        <v>0</v>
      </c>
    </row>
    <row r="379" spans="1:16" x14ac:dyDescent="0.45">
      <c r="A379" t="s">
        <v>48</v>
      </c>
      <c r="B379" t="s">
        <v>30</v>
      </c>
      <c r="C379" t="s">
        <v>28</v>
      </c>
      <c r="D379" t="s">
        <v>49</v>
      </c>
      <c r="E379">
        <v>30</v>
      </c>
      <c r="F379">
        <v>40</v>
      </c>
      <c r="G379" t="s">
        <v>65</v>
      </c>
      <c r="H379" t="s">
        <v>35</v>
      </c>
      <c r="I379" s="24">
        <v>46049</v>
      </c>
      <c r="J379" t="s">
        <v>117</v>
      </c>
      <c r="K379" t="s">
        <v>117</v>
      </c>
      <c r="L379" t="s">
        <v>117</v>
      </c>
      <c r="M379">
        <v>7</v>
      </c>
      <c r="N379">
        <v>210</v>
      </c>
      <c r="O379">
        <v>5.7142857142857144</v>
      </c>
      <c r="P379">
        <v>0</v>
      </c>
    </row>
    <row r="380" spans="1:16" x14ac:dyDescent="0.45">
      <c r="A380" t="s">
        <v>50</v>
      </c>
      <c r="B380" t="s">
        <v>27</v>
      </c>
      <c r="C380" t="s">
        <v>28</v>
      </c>
      <c r="D380" t="s">
        <v>49</v>
      </c>
      <c r="E380">
        <v>25</v>
      </c>
      <c r="F380">
        <v>40</v>
      </c>
      <c r="G380" t="s">
        <v>65</v>
      </c>
      <c r="H380" t="s">
        <v>37</v>
      </c>
      <c r="I380" s="24">
        <v>46049</v>
      </c>
      <c r="J380" t="s">
        <v>117</v>
      </c>
      <c r="K380" t="s">
        <v>117</v>
      </c>
      <c r="L380" t="s">
        <v>117</v>
      </c>
      <c r="M380">
        <v>7</v>
      </c>
      <c r="N380">
        <v>175</v>
      </c>
      <c r="O380">
        <v>5.7142857142857144</v>
      </c>
      <c r="P380">
        <v>0</v>
      </c>
    </row>
    <row r="381" spans="1:16" x14ac:dyDescent="0.45">
      <c r="A381" t="s">
        <v>51</v>
      </c>
      <c r="B381" t="s">
        <v>27</v>
      </c>
      <c r="C381" t="s">
        <v>28</v>
      </c>
      <c r="D381" t="s">
        <v>49</v>
      </c>
      <c r="E381">
        <v>25</v>
      </c>
      <c r="F381">
        <v>40</v>
      </c>
      <c r="G381" t="s">
        <v>65</v>
      </c>
      <c r="H381" t="s">
        <v>41</v>
      </c>
      <c r="I381" s="24">
        <v>46049</v>
      </c>
      <c r="J381" t="s">
        <v>117</v>
      </c>
      <c r="K381" t="s">
        <v>117</v>
      </c>
      <c r="L381" t="s">
        <v>117</v>
      </c>
      <c r="M381">
        <v>0</v>
      </c>
      <c r="N381">
        <v>0</v>
      </c>
      <c r="O381">
        <v>5.7142857142857144</v>
      </c>
      <c r="P381">
        <v>0</v>
      </c>
    </row>
    <row r="382" spans="1:16" x14ac:dyDescent="0.45">
      <c r="A382" t="s">
        <v>52</v>
      </c>
      <c r="B382" t="s">
        <v>26</v>
      </c>
      <c r="C382" t="s">
        <v>26</v>
      </c>
      <c r="D382" t="s">
        <v>49</v>
      </c>
      <c r="E382">
        <v>35</v>
      </c>
      <c r="F382">
        <v>40</v>
      </c>
      <c r="G382" t="s">
        <v>65</v>
      </c>
      <c r="H382" t="s">
        <v>42</v>
      </c>
      <c r="I382" s="24">
        <v>46049</v>
      </c>
      <c r="J382" t="s">
        <v>117</v>
      </c>
      <c r="K382" t="s">
        <v>117</v>
      </c>
      <c r="L382" t="s">
        <v>117</v>
      </c>
      <c r="M382">
        <v>7.9999999999999982</v>
      </c>
      <c r="N382">
        <v>279.99999999999994</v>
      </c>
      <c r="O382">
        <v>5.7142857142857144</v>
      </c>
      <c r="P382">
        <v>0</v>
      </c>
    </row>
    <row r="383" spans="1:16" x14ac:dyDescent="0.45">
      <c r="A383" t="s">
        <v>53</v>
      </c>
      <c r="B383" t="s">
        <v>26</v>
      </c>
      <c r="C383" t="s">
        <v>26</v>
      </c>
      <c r="D383" t="s">
        <v>49</v>
      </c>
      <c r="E383">
        <v>35</v>
      </c>
      <c r="F383">
        <v>40</v>
      </c>
      <c r="G383" t="s">
        <v>65</v>
      </c>
      <c r="H383" t="s">
        <v>44</v>
      </c>
      <c r="I383" s="24">
        <v>46049</v>
      </c>
      <c r="J383" t="s">
        <v>117</v>
      </c>
      <c r="K383" t="s">
        <v>117</v>
      </c>
      <c r="L383" t="s">
        <v>117</v>
      </c>
      <c r="M383">
        <v>8</v>
      </c>
      <c r="N383">
        <v>280</v>
      </c>
      <c r="O383">
        <v>5.7142857142857144</v>
      </c>
      <c r="P383">
        <v>0</v>
      </c>
    </row>
    <row r="384" spans="1:16" x14ac:dyDescent="0.45">
      <c r="A384" t="s">
        <v>54</v>
      </c>
      <c r="B384" t="s">
        <v>25</v>
      </c>
      <c r="C384" t="s">
        <v>26</v>
      </c>
      <c r="D384" t="s">
        <v>49</v>
      </c>
      <c r="E384">
        <v>28</v>
      </c>
      <c r="F384">
        <v>40</v>
      </c>
      <c r="G384" t="s">
        <v>65</v>
      </c>
      <c r="H384" t="s">
        <v>41</v>
      </c>
      <c r="I384" s="24">
        <v>46049</v>
      </c>
      <c r="J384" t="s">
        <v>117</v>
      </c>
      <c r="K384" t="s">
        <v>117</v>
      </c>
      <c r="L384" t="s">
        <v>117</v>
      </c>
      <c r="M384">
        <v>0</v>
      </c>
      <c r="N384">
        <v>0</v>
      </c>
      <c r="O384">
        <v>5.7142857142857144</v>
      </c>
      <c r="P384">
        <v>0</v>
      </c>
    </row>
    <row r="385" spans="1:16" x14ac:dyDescent="0.45">
      <c r="A385" t="s">
        <v>55</v>
      </c>
      <c r="B385" t="s">
        <v>25</v>
      </c>
      <c r="C385" t="s">
        <v>26</v>
      </c>
      <c r="D385" t="s">
        <v>49</v>
      </c>
      <c r="E385">
        <v>28</v>
      </c>
      <c r="F385">
        <v>40</v>
      </c>
      <c r="G385" t="s">
        <v>65</v>
      </c>
      <c r="H385" t="s">
        <v>44</v>
      </c>
      <c r="I385" s="24">
        <v>46049</v>
      </c>
      <c r="J385" t="s">
        <v>117</v>
      </c>
      <c r="K385" t="s">
        <v>117</v>
      </c>
      <c r="L385" t="s">
        <v>117</v>
      </c>
      <c r="M385">
        <v>8</v>
      </c>
      <c r="N385">
        <v>224</v>
      </c>
      <c r="O385">
        <v>5.7142857142857144</v>
      </c>
      <c r="P385">
        <v>0</v>
      </c>
    </row>
    <row r="386" spans="1:16" x14ac:dyDescent="0.45">
      <c r="A386" t="s">
        <v>56</v>
      </c>
      <c r="B386" t="s">
        <v>29</v>
      </c>
      <c r="C386" t="s">
        <v>29</v>
      </c>
      <c r="D386" t="s">
        <v>49</v>
      </c>
      <c r="E386">
        <v>20</v>
      </c>
      <c r="F386">
        <v>40</v>
      </c>
      <c r="G386" t="s">
        <v>65</v>
      </c>
      <c r="H386" t="s">
        <v>45</v>
      </c>
      <c r="I386" s="24">
        <v>46049</v>
      </c>
      <c r="J386" t="s">
        <v>117</v>
      </c>
      <c r="K386" t="s">
        <v>117</v>
      </c>
      <c r="L386" t="s">
        <v>117</v>
      </c>
      <c r="M386">
        <v>7.9999999999999982</v>
      </c>
      <c r="N386">
        <v>159.99999999999997</v>
      </c>
      <c r="O386">
        <v>5.7142857142857144</v>
      </c>
      <c r="P386">
        <v>0</v>
      </c>
    </row>
    <row r="387" spans="1:16" x14ac:dyDescent="0.45">
      <c r="A387" t="s">
        <v>57</v>
      </c>
      <c r="B387" t="s">
        <v>29</v>
      </c>
      <c r="C387" t="s">
        <v>29</v>
      </c>
      <c r="D387" t="s">
        <v>49</v>
      </c>
      <c r="E387">
        <v>20</v>
      </c>
      <c r="F387">
        <v>40</v>
      </c>
      <c r="G387" t="s">
        <v>65</v>
      </c>
      <c r="H387" t="s">
        <v>44</v>
      </c>
      <c r="I387" s="24">
        <v>46049</v>
      </c>
      <c r="J387" t="s">
        <v>117</v>
      </c>
      <c r="K387" t="s">
        <v>117</v>
      </c>
      <c r="L387" t="s">
        <v>117</v>
      </c>
      <c r="M387">
        <v>8</v>
      </c>
      <c r="N387">
        <v>160</v>
      </c>
      <c r="O387">
        <v>5.7142857142857144</v>
      </c>
      <c r="P387">
        <v>0</v>
      </c>
    </row>
    <row r="388" spans="1:16" x14ac:dyDescent="0.45">
      <c r="A388" t="s">
        <v>58</v>
      </c>
      <c r="B388" t="s">
        <v>29</v>
      </c>
      <c r="C388" t="s">
        <v>29</v>
      </c>
      <c r="D388" t="s">
        <v>49</v>
      </c>
      <c r="E388">
        <v>20</v>
      </c>
      <c r="F388">
        <v>40</v>
      </c>
      <c r="G388" t="s">
        <v>65</v>
      </c>
      <c r="H388" t="s">
        <v>41</v>
      </c>
      <c r="I388" s="24">
        <v>46049</v>
      </c>
      <c r="J388" t="s">
        <v>117</v>
      </c>
      <c r="K388" t="s">
        <v>117</v>
      </c>
      <c r="L388" t="s">
        <v>117</v>
      </c>
      <c r="M388">
        <v>0</v>
      </c>
      <c r="N388">
        <v>0</v>
      </c>
      <c r="O388">
        <v>5.7142857142857144</v>
      </c>
      <c r="P388">
        <v>0</v>
      </c>
    </row>
    <row r="389" spans="1:16" x14ac:dyDescent="0.45">
      <c r="A389" t="s">
        <v>59</v>
      </c>
      <c r="B389" t="s">
        <v>29</v>
      </c>
      <c r="C389" t="s">
        <v>29</v>
      </c>
      <c r="D389" t="s">
        <v>60</v>
      </c>
      <c r="E389">
        <v>15</v>
      </c>
      <c r="F389">
        <v>20</v>
      </c>
      <c r="G389" t="s">
        <v>65</v>
      </c>
      <c r="H389" t="s">
        <v>46</v>
      </c>
      <c r="I389" s="24">
        <v>46049</v>
      </c>
      <c r="J389" t="s">
        <v>117</v>
      </c>
      <c r="K389" t="s">
        <v>117</v>
      </c>
      <c r="L389" t="s">
        <v>117</v>
      </c>
      <c r="M389">
        <v>4.9999999999999982</v>
      </c>
      <c r="N389">
        <v>74.999999999999972</v>
      </c>
      <c r="O389">
        <v>2.8571428571428572</v>
      </c>
      <c r="P389">
        <v>0</v>
      </c>
    </row>
    <row r="390" spans="1:16" x14ac:dyDescent="0.45">
      <c r="A390" t="s">
        <v>61</v>
      </c>
      <c r="B390" t="s">
        <v>29</v>
      </c>
      <c r="C390" t="s">
        <v>29</v>
      </c>
      <c r="D390" t="s">
        <v>60</v>
      </c>
      <c r="E390">
        <v>15</v>
      </c>
      <c r="F390">
        <v>20</v>
      </c>
      <c r="G390" t="s">
        <v>65</v>
      </c>
      <c r="H390" t="s">
        <v>40</v>
      </c>
      <c r="I390" s="24">
        <v>46049</v>
      </c>
      <c r="J390" t="s">
        <v>117</v>
      </c>
      <c r="K390" t="s">
        <v>117</v>
      </c>
      <c r="L390" t="s">
        <v>117</v>
      </c>
      <c r="M390">
        <v>5</v>
      </c>
      <c r="N390">
        <v>75</v>
      </c>
      <c r="O390">
        <v>2.8571428571428572</v>
      </c>
      <c r="P390">
        <v>0</v>
      </c>
    </row>
    <row r="391" spans="1:16" x14ac:dyDescent="0.45">
      <c r="A391" t="s">
        <v>62</v>
      </c>
      <c r="B391" t="s">
        <v>29</v>
      </c>
      <c r="C391" t="s">
        <v>29</v>
      </c>
      <c r="D391" t="s">
        <v>60</v>
      </c>
      <c r="E391">
        <v>15</v>
      </c>
      <c r="F391">
        <v>20</v>
      </c>
      <c r="G391" t="s">
        <v>65</v>
      </c>
      <c r="H391" t="s">
        <v>40</v>
      </c>
      <c r="I391" s="24">
        <v>46049</v>
      </c>
      <c r="J391" t="s">
        <v>117</v>
      </c>
      <c r="K391" t="s">
        <v>117</v>
      </c>
      <c r="L391" t="s">
        <v>117</v>
      </c>
      <c r="M391">
        <v>5</v>
      </c>
      <c r="N391">
        <v>75</v>
      </c>
      <c r="O391">
        <v>2.8571428571428572</v>
      </c>
      <c r="P391">
        <v>0</v>
      </c>
    </row>
    <row r="392" spans="1:16" x14ac:dyDescent="0.45">
      <c r="A392" t="s">
        <v>48</v>
      </c>
      <c r="B392" t="s">
        <v>30</v>
      </c>
      <c r="C392" t="s">
        <v>28</v>
      </c>
      <c r="D392" t="s">
        <v>49</v>
      </c>
      <c r="E392">
        <v>30</v>
      </c>
      <c r="F392">
        <v>40</v>
      </c>
      <c r="G392" t="s">
        <v>66</v>
      </c>
      <c r="H392" t="s">
        <v>40</v>
      </c>
      <c r="I392" s="24">
        <v>46050</v>
      </c>
      <c r="J392" t="s">
        <v>117</v>
      </c>
      <c r="K392" t="s">
        <v>117</v>
      </c>
      <c r="L392" t="s">
        <v>117</v>
      </c>
      <c r="M392">
        <v>5</v>
      </c>
      <c r="N392">
        <v>150</v>
      </c>
      <c r="O392">
        <v>5.7142857142857144</v>
      </c>
      <c r="P392">
        <v>0</v>
      </c>
    </row>
    <row r="393" spans="1:16" x14ac:dyDescent="0.45">
      <c r="A393" t="s">
        <v>50</v>
      </c>
      <c r="B393" t="s">
        <v>27</v>
      </c>
      <c r="C393" t="s">
        <v>28</v>
      </c>
      <c r="D393" t="s">
        <v>49</v>
      </c>
      <c r="E393">
        <v>25</v>
      </c>
      <c r="F393">
        <v>40</v>
      </c>
      <c r="G393" t="s">
        <v>66</v>
      </c>
      <c r="H393" t="s">
        <v>41</v>
      </c>
      <c r="I393" s="24">
        <v>46050</v>
      </c>
      <c r="J393" t="s">
        <v>117</v>
      </c>
      <c r="K393" t="s">
        <v>117</v>
      </c>
      <c r="L393" t="s">
        <v>117</v>
      </c>
      <c r="M393">
        <v>0</v>
      </c>
      <c r="N393">
        <v>0</v>
      </c>
      <c r="O393">
        <v>5.7142857142857144</v>
      </c>
      <c r="P393">
        <v>0</v>
      </c>
    </row>
    <row r="394" spans="1:16" x14ac:dyDescent="0.45">
      <c r="A394" t="s">
        <v>51</v>
      </c>
      <c r="B394" t="s">
        <v>27</v>
      </c>
      <c r="C394" t="s">
        <v>28</v>
      </c>
      <c r="D394" t="s">
        <v>49</v>
      </c>
      <c r="E394">
        <v>25</v>
      </c>
      <c r="F394">
        <v>40</v>
      </c>
      <c r="G394" t="s">
        <v>66</v>
      </c>
      <c r="H394" t="s">
        <v>35</v>
      </c>
      <c r="I394" s="24">
        <v>46050</v>
      </c>
      <c r="J394" t="s">
        <v>117</v>
      </c>
      <c r="K394" t="s">
        <v>117</v>
      </c>
      <c r="L394" t="s">
        <v>117</v>
      </c>
      <c r="M394">
        <v>7</v>
      </c>
      <c r="N394">
        <v>175</v>
      </c>
      <c r="O394">
        <v>5.7142857142857144</v>
      </c>
      <c r="P394">
        <v>0</v>
      </c>
    </row>
    <row r="395" spans="1:16" x14ac:dyDescent="0.45">
      <c r="A395" t="s">
        <v>52</v>
      </c>
      <c r="B395" t="s">
        <v>26</v>
      </c>
      <c r="C395" t="s">
        <v>26</v>
      </c>
      <c r="D395" t="s">
        <v>49</v>
      </c>
      <c r="E395">
        <v>35</v>
      </c>
      <c r="F395">
        <v>40</v>
      </c>
      <c r="G395" t="s">
        <v>66</v>
      </c>
      <c r="H395" t="s">
        <v>41</v>
      </c>
      <c r="I395" s="24">
        <v>46050</v>
      </c>
      <c r="J395" t="s">
        <v>117</v>
      </c>
      <c r="K395" t="s">
        <v>117</v>
      </c>
      <c r="L395" t="s">
        <v>117</v>
      </c>
      <c r="M395">
        <v>0</v>
      </c>
      <c r="N395">
        <v>0</v>
      </c>
      <c r="O395">
        <v>5.7142857142857144</v>
      </c>
      <c r="P395">
        <v>0</v>
      </c>
    </row>
    <row r="396" spans="1:16" x14ac:dyDescent="0.45">
      <c r="A396" t="s">
        <v>53</v>
      </c>
      <c r="B396" t="s">
        <v>26</v>
      </c>
      <c r="C396" t="s">
        <v>26</v>
      </c>
      <c r="D396" t="s">
        <v>49</v>
      </c>
      <c r="E396">
        <v>35</v>
      </c>
      <c r="F396">
        <v>40</v>
      </c>
      <c r="G396" t="s">
        <v>66</v>
      </c>
      <c r="H396" t="s">
        <v>42</v>
      </c>
      <c r="I396" s="24">
        <v>46050</v>
      </c>
      <c r="J396" t="s">
        <v>117</v>
      </c>
      <c r="K396" t="s">
        <v>117</v>
      </c>
      <c r="L396" t="s">
        <v>117</v>
      </c>
      <c r="M396">
        <v>7.9999999999999982</v>
      </c>
      <c r="N396">
        <v>279.99999999999994</v>
      </c>
      <c r="O396">
        <v>5.7142857142857144</v>
      </c>
      <c r="P396">
        <v>0</v>
      </c>
    </row>
    <row r="397" spans="1:16" x14ac:dyDescent="0.45">
      <c r="A397" t="s">
        <v>54</v>
      </c>
      <c r="B397" t="s">
        <v>25</v>
      </c>
      <c r="C397" t="s">
        <v>26</v>
      </c>
      <c r="D397" t="s">
        <v>49</v>
      </c>
      <c r="E397">
        <v>28</v>
      </c>
      <c r="F397">
        <v>40</v>
      </c>
      <c r="G397" t="s">
        <v>66</v>
      </c>
      <c r="H397" t="s">
        <v>42</v>
      </c>
      <c r="I397" s="24">
        <v>46050</v>
      </c>
      <c r="J397" t="s">
        <v>117</v>
      </c>
      <c r="K397" t="s">
        <v>117</v>
      </c>
      <c r="L397" t="s">
        <v>117</v>
      </c>
      <c r="M397">
        <v>7.9999999999999982</v>
      </c>
      <c r="N397">
        <v>223.99999999999994</v>
      </c>
      <c r="O397">
        <v>5.7142857142857144</v>
      </c>
      <c r="P397">
        <v>0</v>
      </c>
    </row>
    <row r="398" spans="1:16" x14ac:dyDescent="0.45">
      <c r="A398" t="s">
        <v>55</v>
      </c>
      <c r="B398" t="s">
        <v>25</v>
      </c>
      <c r="C398" t="s">
        <v>26</v>
      </c>
      <c r="D398" t="s">
        <v>49</v>
      </c>
      <c r="E398">
        <v>28</v>
      </c>
      <c r="F398">
        <v>40</v>
      </c>
      <c r="G398" t="s">
        <v>66</v>
      </c>
      <c r="H398" t="s">
        <v>44</v>
      </c>
      <c r="I398" s="24">
        <v>46050</v>
      </c>
      <c r="J398" t="s">
        <v>117</v>
      </c>
      <c r="K398" t="s">
        <v>117</v>
      </c>
      <c r="L398" t="s">
        <v>117</v>
      </c>
      <c r="M398">
        <v>8</v>
      </c>
      <c r="N398">
        <v>224</v>
      </c>
      <c r="O398">
        <v>5.7142857142857144</v>
      </c>
      <c r="P398">
        <v>0</v>
      </c>
    </row>
    <row r="399" spans="1:16" x14ac:dyDescent="0.45">
      <c r="A399" t="s">
        <v>56</v>
      </c>
      <c r="B399" t="s">
        <v>29</v>
      </c>
      <c r="C399" t="s">
        <v>29</v>
      </c>
      <c r="D399" t="s">
        <v>49</v>
      </c>
      <c r="E399">
        <v>20</v>
      </c>
      <c r="F399">
        <v>40</v>
      </c>
      <c r="G399" t="s">
        <v>66</v>
      </c>
      <c r="H399" t="s">
        <v>45</v>
      </c>
      <c r="I399" s="24">
        <v>46050</v>
      </c>
      <c r="J399" t="s">
        <v>117</v>
      </c>
      <c r="K399" t="s">
        <v>117</v>
      </c>
      <c r="L399" t="s">
        <v>117</v>
      </c>
      <c r="M399">
        <v>7.9999999999999982</v>
      </c>
      <c r="N399">
        <v>159.99999999999997</v>
      </c>
      <c r="O399">
        <v>5.7142857142857144</v>
      </c>
      <c r="P399">
        <v>0</v>
      </c>
    </row>
    <row r="400" spans="1:16" x14ac:dyDescent="0.45">
      <c r="A400" t="s">
        <v>57</v>
      </c>
      <c r="B400" t="s">
        <v>29</v>
      </c>
      <c r="C400" t="s">
        <v>29</v>
      </c>
      <c r="D400" t="s">
        <v>49</v>
      </c>
      <c r="E400">
        <v>20</v>
      </c>
      <c r="F400">
        <v>40</v>
      </c>
      <c r="G400" t="s">
        <v>66</v>
      </c>
      <c r="H400" t="s">
        <v>44</v>
      </c>
      <c r="I400" s="24">
        <v>46050</v>
      </c>
      <c r="J400" t="s">
        <v>117</v>
      </c>
      <c r="K400" t="s">
        <v>117</v>
      </c>
      <c r="L400" t="s">
        <v>117</v>
      </c>
      <c r="M400">
        <v>8</v>
      </c>
      <c r="N400">
        <v>160</v>
      </c>
      <c r="O400">
        <v>5.7142857142857144</v>
      </c>
      <c r="P400">
        <v>0</v>
      </c>
    </row>
    <row r="401" spans="1:16" x14ac:dyDescent="0.45">
      <c r="A401" t="s">
        <v>58</v>
      </c>
      <c r="B401" t="s">
        <v>29</v>
      </c>
      <c r="C401" t="s">
        <v>29</v>
      </c>
      <c r="D401" t="s">
        <v>49</v>
      </c>
      <c r="E401">
        <v>20</v>
      </c>
      <c r="F401">
        <v>40</v>
      </c>
      <c r="G401" t="s">
        <v>66</v>
      </c>
      <c r="H401" t="s">
        <v>41</v>
      </c>
      <c r="I401" s="24">
        <v>46050</v>
      </c>
      <c r="J401" t="s">
        <v>117</v>
      </c>
      <c r="K401" t="s">
        <v>117</v>
      </c>
      <c r="L401" t="s">
        <v>117</v>
      </c>
      <c r="M401">
        <v>0</v>
      </c>
      <c r="N401">
        <v>0</v>
      </c>
      <c r="O401">
        <v>5.7142857142857144</v>
      </c>
      <c r="P401">
        <v>0</v>
      </c>
    </row>
    <row r="402" spans="1:16" x14ac:dyDescent="0.45">
      <c r="A402" t="s">
        <v>59</v>
      </c>
      <c r="B402" t="s">
        <v>29</v>
      </c>
      <c r="C402" t="s">
        <v>29</v>
      </c>
      <c r="D402" t="s">
        <v>60</v>
      </c>
      <c r="E402">
        <v>15</v>
      </c>
      <c r="F402">
        <v>20</v>
      </c>
      <c r="G402" t="s">
        <v>66</v>
      </c>
      <c r="H402" t="s">
        <v>46</v>
      </c>
      <c r="I402" s="24">
        <v>46050</v>
      </c>
      <c r="J402" t="s">
        <v>117</v>
      </c>
      <c r="K402" t="s">
        <v>117</v>
      </c>
      <c r="L402" t="s">
        <v>117</v>
      </c>
      <c r="M402">
        <v>4.9999999999999982</v>
      </c>
      <c r="N402">
        <v>74.999999999999972</v>
      </c>
      <c r="O402">
        <v>2.8571428571428572</v>
      </c>
      <c r="P402">
        <v>0</v>
      </c>
    </row>
    <row r="403" spans="1:16" x14ac:dyDescent="0.45">
      <c r="A403" t="s">
        <v>61</v>
      </c>
      <c r="B403" t="s">
        <v>29</v>
      </c>
      <c r="C403" t="s">
        <v>29</v>
      </c>
      <c r="D403" t="s">
        <v>60</v>
      </c>
      <c r="E403">
        <v>15</v>
      </c>
      <c r="F403">
        <v>20</v>
      </c>
      <c r="G403" t="s">
        <v>66</v>
      </c>
      <c r="H403" t="s">
        <v>39</v>
      </c>
      <c r="I403" s="24">
        <v>46050</v>
      </c>
      <c r="J403" t="s">
        <v>117</v>
      </c>
      <c r="K403" t="s">
        <v>117</v>
      </c>
      <c r="L403" t="s">
        <v>117</v>
      </c>
      <c r="M403">
        <v>4.9999999999999982</v>
      </c>
      <c r="N403">
        <v>74.999999999999972</v>
      </c>
      <c r="O403">
        <v>2.8571428571428572</v>
      </c>
      <c r="P403">
        <v>0</v>
      </c>
    </row>
    <row r="404" spans="1:16" x14ac:dyDescent="0.45">
      <c r="A404" t="s">
        <v>62</v>
      </c>
      <c r="B404" t="s">
        <v>29</v>
      </c>
      <c r="C404" t="s">
        <v>29</v>
      </c>
      <c r="D404" t="s">
        <v>60</v>
      </c>
      <c r="E404">
        <v>15</v>
      </c>
      <c r="F404">
        <v>20</v>
      </c>
      <c r="G404" t="s">
        <v>66</v>
      </c>
      <c r="H404" t="s">
        <v>41</v>
      </c>
      <c r="I404" s="24">
        <v>46050</v>
      </c>
      <c r="J404" t="s">
        <v>117</v>
      </c>
      <c r="K404" t="s">
        <v>117</v>
      </c>
      <c r="L404" t="s">
        <v>117</v>
      </c>
      <c r="M404">
        <v>0</v>
      </c>
      <c r="N404">
        <v>0</v>
      </c>
      <c r="O404">
        <v>2.8571428571428572</v>
      </c>
      <c r="P404">
        <v>0</v>
      </c>
    </row>
    <row r="405" spans="1:16" x14ac:dyDescent="0.45">
      <c r="A405" t="s">
        <v>48</v>
      </c>
      <c r="B405" t="s">
        <v>30</v>
      </c>
      <c r="C405" t="s">
        <v>28</v>
      </c>
      <c r="D405" t="s">
        <v>49</v>
      </c>
      <c r="E405">
        <v>30</v>
      </c>
      <c r="F405">
        <v>40</v>
      </c>
      <c r="G405" t="s">
        <v>67</v>
      </c>
      <c r="H405" t="s">
        <v>41</v>
      </c>
      <c r="I405" s="24">
        <v>46051</v>
      </c>
      <c r="J405" t="s">
        <v>117</v>
      </c>
      <c r="K405" t="s">
        <v>117</v>
      </c>
      <c r="L405" t="s">
        <v>117</v>
      </c>
      <c r="M405">
        <v>0</v>
      </c>
      <c r="N405">
        <v>0</v>
      </c>
      <c r="O405">
        <v>5.7142857142857144</v>
      </c>
      <c r="P405">
        <v>0</v>
      </c>
    </row>
    <row r="406" spans="1:16" x14ac:dyDescent="0.45">
      <c r="A406" t="s">
        <v>50</v>
      </c>
      <c r="B406" t="s">
        <v>27</v>
      </c>
      <c r="C406" t="s">
        <v>28</v>
      </c>
      <c r="D406" t="s">
        <v>49</v>
      </c>
      <c r="E406">
        <v>25</v>
      </c>
      <c r="F406">
        <v>40</v>
      </c>
      <c r="G406" t="s">
        <v>67</v>
      </c>
      <c r="H406" t="s">
        <v>37</v>
      </c>
      <c r="I406" s="24">
        <v>46051</v>
      </c>
      <c r="J406" t="s">
        <v>117</v>
      </c>
      <c r="K406" t="s">
        <v>117</v>
      </c>
      <c r="L406" t="s">
        <v>117</v>
      </c>
      <c r="M406">
        <v>7</v>
      </c>
      <c r="N406">
        <v>175</v>
      </c>
      <c r="O406">
        <v>5.7142857142857144</v>
      </c>
      <c r="P406">
        <v>0</v>
      </c>
    </row>
    <row r="407" spans="1:16" x14ac:dyDescent="0.45">
      <c r="A407" t="s">
        <v>51</v>
      </c>
      <c r="B407" t="s">
        <v>27</v>
      </c>
      <c r="C407" t="s">
        <v>28</v>
      </c>
      <c r="D407" t="s">
        <v>49</v>
      </c>
      <c r="E407">
        <v>25</v>
      </c>
      <c r="F407">
        <v>40</v>
      </c>
      <c r="G407" t="s">
        <v>67</v>
      </c>
      <c r="H407" t="s">
        <v>35</v>
      </c>
      <c r="I407" s="24">
        <v>46051</v>
      </c>
      <c r="J407" t="s">
        <v>117</v>
      </c>
      <c r="K407" t="s">
        <v>117</v>
      </c>
      <c r="L407" t="s">
        <v>117</v>
      </c>
      <c r="M407">
        <v>7</v>
      </c>
      <c r="N407">
        <v>175</v>
      </c>
      <c r="O407">
        <v>5.7142857142857144</v>
      </c>
      <c r="P407">
        <v>0</v>
      </c>
    </row>
    <row r="408" spans="1:16" x14ac:dyDescent="0.45">
      <c r="A408" t="s">
        <v>52</v>
      </c>
      <c r="B408" t="s">
        <v>26</v>
      </c>
      <c r="C408" t="s">
        <v>26</v>
      </c>
      <c r="D408" t="s">
        <v>49</v>
      </c>
      <c r="E408">
        <v>35</v>
      </c>
      <c r="F408">
        <v>40</v>
      </c>
      <c r="G408" t="s">
        <v>67</v>
      </c>
      <c r="H408" t="s">
        <v>41</v>
      </c>
      <c r="I408" s="24">
        <v>46051</v>
      </c>
      <c r="J408" t="s">
        <v>117</v>
      </c>
      <c r="K408" t="s">
        <v>117</v>
      </c>
      <c r="L408" t="s">
        <v>117</v>
      </c>
      <c r="M408">
        <v>0</v>
      </c>
      <c r="N408">
        <v>0</v>
      </c>
      <c r="O408">
        <v>5.7142857142857144</v>
      </c>
      <c r="P408">
        <v>0</v>
      </c>
    </row>
    <row r="409" spans="1:16" x14ac:dyDescent="0.45">
      <c r="A409" t="s">
        <v>53</v>
      </c>
      <c r="B409" t="s">
        <v>26</v>
      </c>
      <c r="C409" t="s">
        <v>26</v>
      </c>
      <c r="D409" t="s">
        <v>49</v>
      </c>
      <c r="E409">
        <v>35</v>
      </c>
      <c r="F409">
        <v>40</v>
      </c>
      <c r="G409" t="s">
        <v>67</v>
      </c>
      <c r="H409" t="s">
        <v>44</v>
      </c>
      <c r="I409" s="24">
        <v>46051</v>
      </c>
      <c r="J409" t="s">
        <v>117</v>
      </c>
      <c r="K409" t="s">
        <v>117</v>
      </c>
      <c r="L409" t="s">
        <v>117</v>
      </c>
      <c r="M409">
        <v>8</v>
      </c>
      <c r="N409">
        <v>280</v>
      </c>
      <c r="O409">
        <v>5.7142857142857144</v>
      </c>
      <c r="P409">
        <v>0</v>
      </c>
    </row>
    <row r="410" spans="1:16" x14ac:dyDescent="0.45">
      <c r="A410" t="s">
        <v>54</v>
      </c>
      <c r="B410" t="s">
        <v>25</v>
      </c>
      <c r="C410" t="s">
        <v>26</v>
      </c>
      <c r="D410" t="s">
        <v>49</v>
      </c>
      <c r="E410">
        <v>28</v>
      </c>
      <c r="F410">
        <v>40</v>
      </c>
      <c r="G410" t="s">
        <v>67</v>
      </c>
      <c r="H410" t="s">
        <v>42</v>
      </c>
      <c r="I410" s="24">
        <v>46051</v>
      </c>
      <c r="J410" t="s">
        <v>117</v>
      </c>
      <c r="K410" t="s">
        <v>117</v>
      </c>
      <c r="L410" t="s">
        <v>117</v>
      </c>
      <c r="M410">
        <v>7.9999999999999982</v>
      </c>
      <c r="N410">
        <v>223.99999999999994</v>
      </c>
      <c r="O410">
        <v>5.7142857142857144</v>
      </c>
      <c r="P410">
        <v>0</v>
      </c>
    </row>
    <row r="411" spans="1:16" x14ac:dyDescent="0.45">
      <c r="A411" t="s">
        <v>55</v>
      </c>
      <c r="B411" t="s">
        <v>25</v>
      </c>
      <c r="C411" t="s">
        <v>26</v>
      </c>
      <c r="D411" t="s">
        <v>49</v>
      </c>
      <c r="E411">
        <v>28</v>
      </c>
      <c r="F411">
        <v>40</v>
      </c>
      <c r="G411" t="s">
        <v>67</v>
      </c>
      <c r="H411" t="s">
        <v>44</v>
      </c>
      <c r="I411" s="24">
        <v>46051</v>
      </c>
      <c r="J411" t="s">
        <v>117</v>
      </c>
      <c r="K411" t="s">
        <v>117</v>
      </c>
      <c r="L411" t="s">
        <v>117</v>
      </c>
      <c r="M411">
        <v>8</v>
      </c>
      <c r="N411">
        <v>224</v>
      </c>
      <c r="O411">
        <v>5.7142857142857144</v>
      </c>
      <c r="P411">
        <v>0</v>
      </c>
    </row>
    <row r="412" spans="1:16" x14ac:dyDescent="0.45">
      <c r="A412" t="s">
        <v>56</v>
      </c>
      <c r="B412" t="s">
        <v>29</v>
      </c>
      <c r="C412" t="s">
        <v>29</v>
      </c>
      <c r="D412" t="s">
        <v>49</v>
      </c>
      <c r="E412">
        <v>20</v>
      </c>
      <c r="F412">
        <v>40</v>
      </c>
      <c r="G412" t="s">
        <v>67</v>
      </c>
      <c r="H412" t="s">
        <v>41</v>
      </c>
      <c r="I412" s="24">
        <v>46051</v>
      </c>
      <c r="J412" t="s">
        <v>117</v>
      </c>
      <c r="K412" t="s">
        <v>117</v>
      </c>
      <c r="L412" t="s">
        <v>117</v>
      </c>
      <c r="M412">
        <v>0</v>
      </c>
      <c r="N412">
        <v>0</v>
      </c>
      <c r="O412">
        <v>5.7142857142857144</v>
      </c>
      <c r="P412">
        <v>0</v>
      </c>
    </row>
    <row r="413" spans="1:16" x14ac:dyDescent="0.45">
      <c r="A413" t="s">
        <v>57</v>
      </c>
      <c r="B413" t="s">
        <v>29</v>
      </c>
      <c r="C413" t="s">
        <v>29</v>
      </c>
      <c r="D413" t="s">
        <v>49</v>
      </c>
      <c r="E413">
        <v>20</v>
      </c>
      <c r="F413">
        <v>40</v>
      </c>
      <c r="G413" t="s">
        <v>67</v>
      </c>
      <c r="H413" t="s">
        <v>44</v>
      </c>
      <c r="I413" s="24">
        <v>46051</v>
      </c>
      <c r="J413" t="s">
        <v>117</v>
      </c>
      <c r="K413" t="s">
        <v>117</v>
      </c>
      <c r="L413" t="s">
        <v>117</v>
      </c>
      <c r="M413">
        <v>8</v>
      </c>
      <c r="N413">
        <v>160</v>
      </c>
      <c r="O413">
        <v>5.7142857142857144</v>
      </c>
      <c r="P413">
        <v>0</v>
      </c>
    </row>
    <row r="414" spans="1:16" x14ac:dyDescent="0.45">
      <c r="A414" t="s">
        <v>58</v>
      </c>
      <c r="B414" t="s">
        <v>29</v>
      </c>
      <c r="C414" t="s">
        <v>29</v>
      </c>
      <c r="D414" t="s">
        <v>49</v>
      </c>
      <c r="E414">
        <v>20</v>
      </c>
      <c r="F414">
        <v>40</v>
      </c>
      <c r="G414" t="s">
        <v>67</v>
      </c>
      <c r="H414" t="s">
        <v>44</v>
      </c>
      <c r="I414" s="24">
        <v>46051</v>
      </c>
      <c r="J414" t="s">
        <v>117</v>
      </c>
      <c r="K414" t="s">
        <v>117</v>
      </c>
      <c r="L414" t="s">
        <v>117</v>
      </c>
      <c r="M414">
        <v>8</v>
      </c>
      <c r="N414">
        <v>160</v>
      </c>
      <c r="O414">
        <v>5.7142857142857144</v>
      </c>
      <c r="P414">
        <v>0</v>
      </c>
    </row>
    <row r="415" spans="1:16" x14ac:dyDescent="0.45">
      <c r="A415" t="s">
        <v>59</v>
      </c>
      <c r="B415" t="s">
        <v>29</v>
      </c>
      <c r="C415" t="s">
        <v>29</v>
      </c>
      <c r="D415" t="s">
        <v>60</v>
      </c>
      <c r="E415">
        <v>15</v>
      </c>
      <c r="F415">
        <v>20</v>
      </c>
      <c r="G415" t="s">
        <v>67</v>
      </c>
      <c r="H415" t="s">
        <v>46</v>
      </c>
      <c r="I415" s="24">
        <v>46051</v>
      </c>
      <c r="J415" t="s">
        <v>117</v>
      </c>
      <c r="K415" t="s">
        <v>117</v>
      </c>
      <c r="L415" t="s">
        <v>117</v>
      </c>
      <c r="M415">
        <v>4.9999999999999982</v>
      </c>
      <c r="N415">
        <v>74.999999999999972</v>
      </c>
      <c r="O415">
        <v>2.8571428571428572</v>
      </c>
      <c r="P415">
        <v>0</v>
      </c>
    </row>
    <row r="416" spans="1:16" x14ac:dyDescent="0.45">
      <c r="A416" t="s">
        <v>61</v>
      </c>
      <c r="B416" t="s">
        <v>29</v>
      </c>
      <c r="C416" t="s">
        <v>29</v>
      </c>
      <c r="D416" t="s">
        <v>60</v>
      </c>
      <c r="E416">
        <v>15</v>
      </c>
      <c r="F416">
        <v>20</v>
      </c>
      <c r="G416" t="s">
        <v>67</v>
      </c>
      <c r="H416" t="s">
        <v>41</v>
      </c>
      <c r="I416" s="24">
        <v>46051</v>
      </c>
      <c r="J416" t="s">
        <v>117</v>
      </c>
      <c r="K416" t="s">
        <v>117</v>
      </c>
      <c r="L416" t="s">
        <v>117</v>
      </c>
      <c r="M416">
        <v>0</v>
      </c>
      <c r="N416">
        <v>0</v>
      </c>
      <c r="O416">
        <v>2.8571428571428572</v>
      </c>
      <c r="P416">
        <v>0</v>
      </c>
    </row>
    <row r="417" spans="1:16" x14ac:dyDescent="0.45">
      <c r="A417" t="s">
        <v>62</v>
      </c>
      <c r="B417" t="s">
        <v>29</v>
      </c>
      <c r="C417" t="s">
        <v>29</v>
      </c>
      <c r="D417" t="s">
        <v>60</v>
      </c>
      <c r="E417">
        <v>15</v>
      </c>
      <c r="F417">
        <v>20</v>
      </c>
      <c r="G417" t="s">
        <v>67</v>
      </c>
      <c r="H417" t="s">
        <v>41</v>
      </c>
      <c r="I417" s="24">
        <v>46051</v>
      </c>
      <c r="J417" t="s">
        <v>117</v>
      </c>
      <c r="K417" t="s">
        <v>117</v>
      </c>
      <c r="L417" t="s">
        <v>117</v>
      </c>
      <c r="M417">
        <v>0</v>
      </c>
      <c r="N417">
        <v>0</v>
      </c>
      <c r="O417">
        <v>2.8571428571428572</v>
      </c>
      <c r="P417">
        <v>0</v>
      </c>
    </row>
    <row r="418" spans="1:16" x14ac:dyDescent="0.45">
      <c r="A418" t="s">
        <v>48</v>
      </c>
      <c r="B418" t="s">
        <v>30</v>
      </c>
      <c r="C418" t="s">
        <v>28</v>
      </c>
      <c r="D418" t="s">
        <v>49</v>
      </c>
      <c r="E418">
        <v>30</v>
      </c>
      <c r="F418">
        <v>40</v>
      </c>
      <c r="G418" t="s">
        <v>68</v>
      </c>
      <c r="H418" t="s">
        <v>35</v>
      </c>
      <c r="I418" s="24">
        <v>46052</v>
      </c>
      <c r="J418" t="s">
        <v>117</v>
      </c>
      <c r="K418" t="s">
        <v>117</v>
      </c>
      <c r="L418" t="s">
        <v>117</v>
      </c>
      <c r="M418">
        <v>7</v>
      </c>
      <c r="N418">
        <v>210</v>
      </c>
      <c r="O418">
        <v>5.7142857142857144</v>
      </c>
      <c r="P418">
        <v>0</v>
      </c>
    </row>
    <row r="419" spans="1:16" x14ac:dyDescent="0.45">
      <c r="A419" t="s">
        <v>50</v>
      </c>
      <c r="B419" t="s">
        <v>27</v>
      </c>
      <c r="C419" t="s">
        <v>28</v>
      </c>
      <c r="D419" t="s">
        <v>49</v>
      </c>
      <c r="E419">
        <v>25</v>
      </c>
      <c r="F419">
        <v>40</v>
      </c>
      <c r="G419" t="s">
        <v>68</v>
      </c>
      <c r="H419" t="s">
        <v>37</v>
      </c>
      <c r="I419" s="24">
        <v>46052</v>
      </c>
      <c r="J419" t="s">
        <v>117</v>
      </c>
      <c r="K419" t="s">
        <v>117</v>
      </c>
      <c r="L419" t="s">
        <v>117</v>
      </c>
      <c r="M419">
        <v>7</v>
      </c>
      <c r="N419">
        <v>175</v>
      </c>
      <c r="O419">
        <v>5.7142857142857144</v>
      </c>
      <c r="P419">
        <v>0</v>
      </c>
    </row>
    <row r="420" spans="1:16" x14ac:dyDescent="0.45">
      <c r="A420" t="s">
        <v>51</v>
      </c>
      <c r="B420" t="s">
        <v>27</v>
      </c>
      <c r="C420" t="s">
        <v>28</v>
      </c>
      <c r="D420" t="s">
        <v>49</v>
      </c>
      <c r="E420">
        <v>25</v>
      </c>
      <c r="F420">
        <v>40</v>
      </c>
      <c r="G420" t="s">
        <v>68</v>
      </c>
      <c r="H420" t="s">
        <v>35</v>
      </c>
      <c r="I420" s="24">
        <v>46052</v>
      </c>
      <c r="J420" t="s">
        <v>117</v>
      </c>
      <c r="K420" t="s">
        <v>117</v>
      </c>
      <c r="L420" t="s">
        <v>117</v>
      </c>
      <c r="M420">
        <v>7</v>
      </c>
      <c r="N420">
        <v>175</v>
      </c>
      <c r="O420">
        <v>5.7142857142857144</v>
      </c>
      <c r="P420">
        <v>0</v>
      </c>
    </row>
    <row r="421" spans="1:16" x14ac:dyDescent="0.45">
      <c r="A421" t="s">
        <v>52</v>
      </c>
      <c r="B421" t="s">
        <v>26</v>
      </c>
      <c r="C421" t="s">
        <v>26</v>
      </c>
      <c r="D421" t="s">
        <v>49</v>
      </c>
      <c r="E421">
        <v>35</v>
      </c>
      <c r="F421">
        <v>40</v>
      </c>
      <c r="G421" t="s">
        <v>68</v>
      </c>
      <c r="H421" t="s">
        <v>41</v>
      </c>
      <c r="I421" s="24">
        <v>46052</v>
      </c>
      <c r="J421" t="s">
        <v>117</v>
      </c>
      <c r="K421" t="s">
        <v>117</v>
      </c>
      <c r="L421" t="s">
        <v>117</v>
      </c>
      <c r="M421">
        <v>0</v>
      </c>
      <c r="N421">
        <v>0</v>
      </c>
      <c r="O421">
        <v>5.7142857142857144</v>
      </c>
      <c r="P421">
        <v>0</v>
      </c>
    </row>
    <row r="422" spans="1:16" x14ac:dyDescent="0.45">
      <c r="A422" t="s">
        <v>53</v>
      </c>
      <c r="B422" t="s">
        <v>26</v>
      </c>
      <c r="C422" t="s">
        <v>26</v>
      </c>
      <c r="D422" t="s">
        <v>49</v>
      </c>
      <c r="E422">
        <v>35</v>
      </c>
      <c r="F422">
        <v>40</v>
      </c>
      <c r="G422" t="s">
        <v>68</v>
      </c>
      <c r="H422" t="s">
        <v>41</v>
      </c>
      <c r="I422" s="24">
        <v>46052</v>
      </c>
      <c r="J422" t="s">
        <v>117</v>
      </c>
      <c r="K422" t="s">
        <v>117</v>
      </c>
      <c r="L422" t="s">
        <v>117</v>
      </c>
      <c r="M422">
        <v>0</v>
      </c>
      <c r="N422">
        <v>0</v>
      </c>
      <c r="O422">
        <v>5.7142857142857144</v>
      </c>
      <c r="P422">
        <v>0</v>
      </c>
    </row>
    <row r="423" spans="1:16" x14ac:dyDescent="0.45">
      <c r="A423" t="s">
        <v>54</v>
      </c>
      <c r="B423" t="s">
        <v>25</v>
      </c>
      <c r="C423" t="s">
        <v>26</v>
      </c>
      <c r="D423" t="s">
        <v>49</v>
      </c>
      <c r="E423">
        <v>28</v>
      </c>
      <c r="F423">
        <v>40</v>
      </c>
      <c r="G423" t="s">
        <v>68</v>
      </c>
      <c r="H423" t="s">
        <v>42</v>
      </c>
      <c r="I423" s="24">
        <v>46052</v>
      </c>
      <c r="J423" t="s">
        <v>117</v>
      </c>
      <c r="K423" t="s">
        <v>117</v>
      </c>
      <c r="L423" t="s">
        <v>117</v>
      </c>
      <c r="M423">
        <v>7.9999999999999982</v>
      </c>
      <c r="N423">
        <v>223.99999999999994</v>
      </c>
      <c r="O423">
        <v>5.7142857142857144</v>
      </c>
      <c r="P423">
        <v>0</v>
      </c>
    </row>
    <row r="424" spans="1:16" x14ac:dyDescent="0.45">
      <c r="A424" t="s">
        <v>55</v>
      </c>
      <c r="B424" t="s">
        <v>25</v>
      </c>
      <c r="C424" t="s">
        <v>26</v>
      </c>
      <c r="D424" t="s">
        <v>49</v>
      </c>
      <c r="E424">
        <v>28</v>
      </c>
      <c r="F424">
        <v>40</v>
      </c>
      <c r="G424" t="s">
        <v>68</v>
      </c>
      <c r="H424" t="s">
        <v>44</v>
      </c>
      <c r="I424" s="24">
        <v>46052</v>
      </c>
      <c r="J424" t="s">
        <v>117</v>
      </c>
      <c r="K424" t="s">
        <v>117</v>
      </c>
      <c r="L424" t="s">
        <v>117</v>
      </c>
      <c r="M424">
        <v>8</v>
      </c>
      <c r="N424">
        <v>224</v>
      </c>
      <c r="O424">
        <v>5.7142857142857144</v>
      </c>
      <c r="P424">
        <v>0</v>
      </c>
    </row>
    <row r="425" spans="1:16" x14ac:dyDescent="0.45">
      <c r="A425" t="s">
        <v>56</v>
      </c>
      <c r="B425" t="s">
        <v>29</v>
      </c>
      <c r="C425" t="s">
        <v>29</v>
      </c>
      <c r="D425" t="s">
        <v>49</v>
      </c>
      <c r="E425">
        <v>20</v>
      </c>
      <c r="F425">
        <v>40</v>
      </c>
      <c r="G425" t="s">
        <v>68</v>
      </c>
      <c r="H425" t="s">
        <v>44</v>
      </c>
      <c r="I425" s="24">
        <v>46052</v>
      </c>
      <c r="J425" t="s">
        <v>117</v>
      </c>
      <c r="K425" t="s">
        <v>117</v>
      </c>
      <c r="L425" t="s">
        <v>117</v>
      </c>
      <c r="M425">
        <v>8</v>
      </c>
      <c r="N425">
        <v>160</v>
      </c>
      <c r="O425">
        <v>5.7142857142857144</v>
      </c>
      <c r="P425">
        <v>0</v>
      </c>
    </row>
    <row r="426" spans="1:16" x14ac:dyDescent="0.45">
      <c r="A426" t="s">
        <v>57</v>
      </c>
      <c r="B426" t="s">
        <v>29</v>
      </c>
      <c r="C426" t="s">
        <v>29</v>
      </c>
      <c r="D426" t="s">
        <v>49</v>
      </c>
      <c r="E426">
        <v>20</v>
      </c>
      <c r="F426">
        <v>40</v>
      </c>
      <c r="G426" t="s">
        <v>68</v>
      </c>
      <c r="H426" t="s">
        <v>41</v>
      </c>
      <c r="I426" s="24">
        <v>46052</v>
      </c>
      <c r="J426" t="s">
        <v>117</v>
      </c>
      <c r="K426" t="s">
        <v>117</v>
      </c>
      <c r="L426" t="s">
        <v>117</v>
      </c>
      <c r="M426">
        <v>0</v>
      </c>
      <c r="N426">
        <v>0</v>
      </c>
      <c r="O426">
        <v>5.7142857142857144</v>
      </c>
      <c r="P426">
        <v>0</v>
      </c>
    </row>
    <row r="427" spans="1:16" x14ac:dyDescent="0.45">
      <c r="A427" t="s">
        <v>58</v>
      </c>
      <c r="B427" t="s">
        <v>29</v>
      </c>
      <c r="C427" t="s">
        <v>29</v>
      </c>
      <c r="D427" t="s">
        <v>49</v>
      </c>
      <c r="E427">
        <v>20</v>
      </c>
      <c r="F427">
        <v>40</v>
      </c>
      <c r="G427" t="s">
        <v>68</v>
      </c>
      <c r="H427" t="s">
        <v>46</v>
      </c>
      <c r="I427" s="24">
        <v>46052</v>
      </c>
      <c r="J427" t="s">
        <v>117</v>
      </c>
      <c r="K427" t="s">
        <v>117</v>
      </c>
      <c r="L427" t="s">
        <v>117</v>
      </c>
      <c r="M427">
        <v>4.9999999999999982</v>
      </c>
      <c r="N427">
        <v>99.999999999999972</v>
      </c>
      <c r="O427">
        <v>5.7142857142857144</v>
      </c>
      <c r="P427">
        <v>0</v>
      </c>
    </row>
    <row r="428" spans="1:16" x14ac:dyDescent="0.45">
      <c r="A428" t="s">
        <v>59</v>
      </c>
      <c r="B428" t="s">
        <v>29</v>
      </c>
      <c r="C428" t="s">
        <v>29</v>
      </c>
      <c r="D428" t="s">
        <v>60</v>
      </c>
      <c r="E428">
        <v>15</v>
      </c>
      <c r="F428">
        <v>20</v>
      </c>
      <c r="G428" t="s">
        <v>68</v>
      </c>
      <c r="H428" t="s">
        <v>46</v>
      </c>
      <c r="I428" s="24">
        <v>46052</v>
      </c>
      <c r="J428" t="s">
        <v>117</v>
      </c>
      <c r="K428" t="s">
        <v>117</v>
      </c>
      <c r="L428" t="s">
        <v>117</v>
      </c>
      <c r="M428">
        <v>4.9999999999999982</v>
      </c>
      <c r="N428">
        <v>74.999999999999972</v>
      </c>
      <c r="O428">
        <v>2.8571428571428572</v>
      </c>
      <c r="P428">
        <v>0</v>
      </c>
    </row>
    <row r="429" spans="1:16" x14ac:dyDescent="0.45">
      <c r="A429" t="s">
        <v>61</v>
      </c>
      <c r="B429" t="s">
        <v>29</v>
      </c>
      <c r="C429" t="s">
        <v>29</v>
      </c>
      <c r="D429" t="s">
        <v>60</v>
      </c>
      <c r="E429">
        <v>15</v>
      </c>
      <c r="F429">
        <v>20</v>
      </c>
      <c r="G429" t="s">
        <v>68</v>
      </c>
      <c r="H429" t="s">
        <v>46</v>
      </c>
      <c r="I429" s="24">
        <v>46052</v>
      </c>
      <c r="J429" t="s">
        <v>117</v>
      </c>
      <c r="K429" t="s">
        <v>117</v>
      </c>
      <c r="L429" t="s">
        <v>117</v>
      </c>
      <c r="M429">
        <v>4.9999999999999982</v>
      </c>
      <c r="N429">
        <v>74.999999999999972</v>
      </c>
      <c r="O429">
        <v>2.8571428571428572</v>
      </c>
      <c r="P429">
        <v>0</v>
      </c>
    </row>
    <row r="430" spans="1:16" x14ac:dyDescent="0.45">
      <c r="A430" t="s">
        <v>62</v>
      </c>
      <c r="B430" t="s">
        <v>29</v>
      </c>
      <c r="C430" t="s">
        <v>29</v>
      </c>
      <c r="D430" t="s">
        <v>60</v>
      </c>
      <c r="E430">
        <v>15</v>
      </c>
      <c r="F430">
        <v>20</v>
      </c>
      <c r="G430" t="s">
        <v>68</v>
      </c>
      <c r="H430" t="s">
        <v>39</v>
      </c>
      <c r="I430" s="24">
        <v>46052</v>
      </c>
      <c r="J430" t="s">
        <v>117</v>
      </c>
      <c r="K430" t="s">
        <v>117</v>
      </c>
      <c r="L430" t="s">
        <v>117</v>
      </c>
      <c r="M430">
        <v>4.9999999999999982</v>
      </c>
      <c r="N430">
        <v>74.999999999999972</v>
      </c>
      <c r="O430">
        <v>2.8571428571428572</v>
      </c>
      <c r="P430">
        <v>0</v>
      </c>
    </row>
    <row r="431" spans="1:16" x14ac:dyDescent="0.45">
      <c r="A431" t="s">
        <v>48</v>
      </c>
      <c r="B431" t="s">
        <v>30</v>
      </c>
      <c r="C431" t="s">
        <v>28</v>
      </c>
      <c r="D431" t="s">
        <v>49</v>
      </c>
      <c r="E431">
        <v>30</v>
      </c>
      <c r="F431">
        <v>40</v>
      </c>
      <c r="G431" t="s">
        <v>69</v>
      </c>
      <c r="H431" t="s">
        <v>37</v>
      </c>
      <c r="I431" s="24">
        <v>46053</v>
      </c>
      <c r="J431" t="s">
        <v>118</v>
      </c>
      <c r="K431" t="s">
        <v>117</v>
      </c>
      <c r="L431" t="s">
        <v>118</v>
      </c>
      <c r="M431">
        <v>7</v>
      </c>
      <c r="N431">
        <v>315</v>
      </c>
      <c r="O431">
        <v>5.7142857142857144</v>
      </c>
      <c r="P431">
        <v>1</v>
      </c>
    </row>
    <row r="432" spans="1:16" x14ac:dyDescent="0.45">
      <c r="A432" t="s">
        <v>50</v>
      </c>
      <c r="B432" t="s">
        <v>27</v>
      </c>
      <c r="C432" t="s">
        <v>28</v>
      </c>
      <c r="D432" t="s">
        <v>49</v>
      </c>
      <c r="E432">
        <v>25</v>
      </c>
      <c r="F432">
        <v>40</v>
      </c>
      <c r="G432" t="s">
        <v>69</v>
      </c>
      <c r="H432" t="s">
        <v>40</v>
      </c>
      <c r="I432" s="24">
        <v>46053</v>
      </c>
      <c r="J432" t="s">
        <v>118</v>
      </c>
      <c r="K432" t="s">
        <v>117</v>
      </c>
      <c r="L432" t="s">
        <v>118</v>
      </c>
      <c r="M432">
        <v>5</v>
      </c>
      <c r="N432">
        <v>187.5</v>
      </c>
      <c r="O432">
        <v>5.7142857142857144</v>
      </c>
      <c r="P432">
        <v>1</v>
      </c>
    </row>
    <row r="433" spans="1:16" x14ac:dyDescent="0.45">
      <c r="A433" t="s">
        <v>51</v>
      </c>
      <c r="B433" t="s">
        <v>27</v>
      </c>
      <c r="C433" t="s">
        <v>28</v>
      </c>
      <c r="D433" t="s">
        <v>49</v>
      </c>
      <c r="E433">
        <v>25</v>
      </c>
      <c r="F433">
        <v>40</v>
      </c>
      <c r="G433" t="s">
        <v>69</v>
      </c>
      <c r="H433" t="s">
        <v>35</v>
      </c>
      <c r="I433" s="24">
        <v>46053</v>
      </c>
      <c r="J433" t="s">
        <v>118</v>
      </c>
      <c r="K433" t="s">
        <v>117</v>
      </c>
      <c r="L433" t="s">
        <v>118</v>
      </c>
      <c r="M433">
        <v>7</v>
      </c>
      <c r="N433">
        <v>262.5</v>
      </c>
      <c r="O433">
        <v>5.7142857142857144</v>
      </c>
      <c r="P433">
        <v>1</v>
      </c>
    </row>
    <row r="434" spans="1:16" x14ac:dyDescent="0.45">
      <c r="A434" t="s">
        <v>52</v>
      </c>
      <c r="B434" t="s">
        <v>26</v>
      </c>
      <c r="C434" t="s">
        <v>26</v>
      </c>
      <c r="D434" t="s">
        <v>49</v>
      </c>
      <c r="E434">
        <v>35</v>
      </c>
      <c r="F434">
        <v>40</v>
      </c>
      <c r="G434" t="s">
        <v>69</v>
      </c>
      <c r="H434" t="s">
        <v>41</v>
      </c>
      <c r="I434" s="24">
        <v>46053</v>
      </c>
      <c r="J434" t="s">
        <v>118</v>
      </c>
      <c r="K434" t="s">
        <v>117</v>
      </c>
      <c r="L434" t="s">
        <v>118</v>
      </c>
      <c r="M434">
        <v>0</v>
      </c>
      <c r="N434">
        <v>0</v>
      </c>
      <c r="O434">
        <v>5.7142857142857144</v>
      </c>
      <c r="P434">
        <v>0</v>
      </c>
    </row>
    <row r="435" spans="1:16" x14ac:dyDescent="0.45">
      <c r="A435" t="s">
        <v>53</v>
      </c>
      <c r="B435" t="s">
        <v>26</v>
      </c>
      <c r="C435" t="s">
        <v>26</v>
      </c>
      <c r="D435" t="s">
        <v>49</v>
      </c>
      <c r="E435">
        <v>35</v>
      </c>
      <c r="F435">
        <v>40</v>
      </c>
      <c r="G435" t="s">
        <v>69</v>
      </c>
      <c r="H435" t="s">
        <v>42</v>
      </c>
      <c r="I435" s="24">
        <v>46053</v>
      </c>
      <c r="J435" t="s">
        <v>118</v>
      </c>
      <c r="K435" t="s">
        <v>117</v>
      </c>
      <c r="L435" t="s">
        <v>118</v>
      </c>
      <c r="M435">
        <v>7.9999999999999982</v>
      </c>
      <c r="N435">
        <v>419.99999999999989</v>
      </c>
      <c r="O435">
        <v>5.7142857142857144</v>
      </c>
      <c r="P435">
        <v>1</v>
      </c>
    </row>
    <row r="436" spans="1:16" x14ac:dyDescent="0.45">
      <c r="A436" t="s">
        <v>54</v>
      </c>
      <c r="B436" t="s">
        <v>25</v>
      </c>
      <c r="C436" t="s">
        <v>26</v>
      </c>
      <c r="D436" t="s">
        <v>49</v>
      </c>
      <c r="E436">
        <v>28</v>
      </c>
      <c r="F436">
        <v>40</v>
      </c>
      <c r="G436" t="s">
        <v>69</v>
      </c>
      <c r="H436" t="s">
        <v>44</v>
      </c>
      <c r="I436" s="24">
        <v>46053</v>
      </c>
      <c r="J436" t="s">
        <v>118</v>
      </c>
      <c r="K436" t="s">
        <v>117</v>
      </c>
      <c r="L436" t="s">
        <v>118</v>
      </c>
      <c r="M436">
        <v>8</v>
      </c>
      <c r="N436">
        <v>336</v>
      </c>
      <c r="O436">
        <v>5.7142857142857144</v>
      </c>
      <c r="P436">
        <v>1</v>
      </c>
    </row>
    <row r="437" spans="1:16" x14ac:dyDescent="0.45">
      <c r="A437" t="s">
        <v>55</v>
      </c>
      <c r="B437" t="s">
        <v>25</v>
      </c>
      <c r="C437" t="s">
        <v>26</v>
      </c>
      <c r="D437" t="s">
        <v>49</v>
      </c>
      <c r="E437">
        <v>28</v>
      </c>
      <c r="F437">
        <v>40</v>
      </c>
      <c r="G437" t="s">
        <v>69</v>
      </c>
      <c r="H437" t="s">
        <v>41</v>
      </c>
      <c r="I437" s="24">
        <v>46053</v>
      </c>
      <c r="J437" t="s">
        <v>118</v>
      </c>
      <c r="K437" t="s">
        <v>117</v>
      </c>
      <c r="L437" t="s">
        <v>118</v>
      </c>
      <c r="M437">
        <v>0</v>
      </c>
      <c r="N437">
        <v>0</v>
      </c>
      <c r="O437">
        <v>5.7142857142857144</v>
      </c>
      <c r="P437">
        <v>0</v>
      </c>
    </row>
    <row r="438" spans="1:16" x14ac:dyDescent="0.45">
      <c r="A438" t="s">
        <v>56</v>
      </c>
      <c r="B438" t="s">
        <v>29</v>
      </c>
      <c r="C438" t="s">
        <v>29</v>
      </c>
      <c r="D438" t="s">
        <v>49</v>
      </c>
      <c r="E438">
        <v>20</v>
      </c>
      <c r="F438">
        <v>40</v>
      </c>
      <c r="G438" t="s">
        <v>69</v>
      </c>
      <c r="H438" t="s">
        <v>45</v>
      </c>
      <c r="I438" s="24">
        <v>46053</v>
      </c>
      <c r="J438" t="s">
        <v>118</v>
      </c>
      <c r="K438" t="s">
        <v>117</v>
      </c>
      <c r="L438" t="s">
        <v>118</v>
      </c>
      <c r="M438">
        <v>7.9999999999999982</v>
      </c>
      <c r="N438">
        <v>239.99999999999994</v>
      </c>
      <c r="O438">
        <v>5.7142857142857144</v>
      </c>
      <c r="P438">
        <v>1</v>
      </c>
    </row>
    <row r="439" spans="1:16" x14ac:dyDescent="0.45">
      <c r="A439" t="s">
        <v>57</v>
      </c>
      <c r="B439" t="s">
        <v>29</v>
      </c>
      <c r="C439" t="s">
        <v>29</v>
      </c>
      <c r="D439" t="s">
        <v>49</v>
      </c>
      <c r="E439">
        <v>20</v>
      </c>
      <c r="F439">
        <v>40</v>
      </c>
      <c r="G439" t="s">
        <v>69</v>
      </c>
      <c r="H439" t="s">
        <v>41</v>
      </c>
      <c r="I439" s="24">
        <v>46053</v>
      </c>
      <c r="J439" t="s">
        <v>118</v>
      </c>
      <c r="K439" t="s">
        <v>117</v>
      </c>
      <c r="L439" t="s">
        <v>118</v>
      </c>
      <c r="M439">
        <v>0</v>
      </c>
      <c r="N439">
        <v>0</v>
      </c>
      <c r="O439">
        <v>5.7142857142857144</v>
      </c>
      <c r="P439">
        <v>0</v>
      </c>
    </row>
    <row r="440" spans="1:16" x14ac:dyDescent="0.45">
      <c r="A440" t="s">
        <v>58</v>
      </c>
      <c r="B440" t="s">
        <v>29</v>
      </c>
      <c r="C440" t="s">
        <v>29</v>
      </c>
      <c r="D440" t="s">
        <v>49</v>
      </c>
      <c r="E440">
        <v>20</v>
      </c>
      <c r="F440">
        <v>40</v>
      </c>
      <c r="G440" t="s">
        <v>69</v>
      </c>
      <c r="H440" t="s">
        <v>44</v>
      </c>
      <c r="I440" s="24">
        <v>46053</v>
      </c>
      <c r="J440" t="s">
        <v>118</v>
      </c>
      <c r="K440" t="s">
        <v>117</v>
      </c>
      <c r="L440" t="s">
        <v>118</v>
      </c>
      <c r="M440">
        <v>8</v>
      </c>
      <c r="N440">
        <v>240</v>
      </c>
      <c r="O440">
        <v>5.7142857142857144</v>
      </c>
      <c r="P440">
        <v>1</v>
      </c>
    </row>
    <row r="441" spans="1:16" x14ac:dyDescent="0.45">
      <c r="A441" t="s">
        <v>59</v>
      </c>
      <c r="B441" t="s">
        <v>29</v>
      </c>
      <c r="C441" t="s">
        <v>29</v>
      </c>
      <c r="D441" t="s">
        <v>60</v>
      </c>
      <c r="E441">
        <v>15</v>
      </c>
      <c r="F441">
        <v>20</v>
      </c>
      <c r="G441" t="s">
        <v>69</v>
      </c>
      <c r="H441" t="s">
        <v>41</v>
      </c>
      <c r="I441" s="24">
        <v>46053</v>
      </c>
      <c r="J441" t="s">
        <v>118</v>
      </c>
      <c r="K441" t="s">
        <v>117</v>
      </c>
      <c r="L441" t="s">
        <v>118</v>
      </c>
      <c r="M441">
        <v>0</v>
      </c>
      <c r="N441">
        <v>0</v>
      </c>
      <c r="O441">
        <v>2.8571428571428572</v>
      </c>
      <c r="P441">
        <v>0</v>
      </c>
    </row>
    <row r="442" spans="1:16" x14ac:dyDescent="0.45">
      <c r="A442" t="s">
        <v>61</v>
      </c>
      <c r="B442" t="s">
        <v>29</v>
      </c>
      <c r="C442" t="s">
        <v>29</v>
      </c>
      <c r="D442" t="s">
        <v>60</v>
      </c>
      <c r="E442">
        <v>15</v>
      </c>
      <c r="F442">
        <v>20</v>
      </c>
      <c r="G442" t="s">
        <v>69</v>
      </c>
      <c r="H442" t="s">
        <v>41</v>
      </c>
      <c r="I442" s="24">
        <v>46053</v>
      </c>
      <c r="J442" t="s">
        <v>118</v>
      </c>
      <c r="K442" t="s">
        <v>117</v>
      </c>
      <c r="L442" t="s">
        <v>118</v>
      </c>
      <c r="M442">
        <v>0</v>
      </c>
      <c r="N442">
        <v>0</v>
      </c>
      <c r="O442">
        <v>2.8571428571428572</v>
      </c>
      <c r="P442">
        <v>0</v>
      </c>
    </row>
    <row r="443" spans="1:16" x14ac:dyDescent="0.45">
      <c r="A443" t="s">
        <v>62</v>
      </c>
      <c r="B443" t="s">
        <v>29</v>
      </c>
      <c r="C443" t="s">
        <v>29</v>
      </c>
      <c r="D443" t="s">
        <v>60</v>
      </c>
      <c r="E443">
        <v>15</v>
      </c>
      <c r="F443">
        <v>20</v>
      </c>
      <c r="G443" t="s">
        <v>69</v>
      </c>
      <c r="H443" t="s">
        <v>40</v>
      </c>
      <c r="I443" s="24">
        <v>46053</v>
      </c>
      <c r="J443" t="s">
        <v>118</v>
      </c>
      <c r="K443" t="s">
        <v>117</v>
      </c>
      <c r="L443" t="s">
        <v>118</v>
      </c>
      <c r="M443">
        <v>5</v>
      </c>
      <c r="N443">
        <v>112.5</v>
      </c>
      <c r="O443">
        <v>2.8571428571428572</v>
      </c>
      <c r="P443">
        <v>1</v>
      </c>
    </row>
    <row r="444" spans="1:16" x14ac:dyDescent="0.45">
      <c r="A444" t="s">
        <v>48</v>
      </c>
      <c r="B444" t="s">
        <v>30</v>
      </c>
      <c r="C444" t="s">
        <v>28</v>
      </c>
      <c r="D444" t="s">
        <v>49</v>
      </c>
      <c r="E444">
        <v>30</v>
      </c>
      <c r="F444">
        <v>40</v>
      </c>
      <c r="G444" t="s">
        <v>70</v>
      </c>
      <c r="H444" t="s">
        <v>41</v>
      </c>
      <c r="I444" s="24">
        <v>46054</v>
      </c>
      <c r="J444" t="s">
        <v>118</v>
      </c>
      <c r="K444" t="s">
        <v>117</v>
      </c>
      <c r="L444" t="s">
        <v>118</v>
      </c>
      <c r="M444">
        <v>0</v>
      </c>
      <c r="N444">
        <v>0</v>
      </c>
      <c r="O444">
        <v>5.7142857142857144</v>
      </c>
      <c r="P444">
        <v>0</v>
      </c>
    </row>
    <row r="445" spans="1:16" x14ac:dyDescent="0.45">
      <c r="A445" t="s">
        <v>50</v>
      </c>
      <c r="B445" t="s">
        <v>27</v>
      </c>
      <c r="C445" t="s">
        <v>28</v>
      </c>
      <c r="D445" t="s">
        <v>49</v>
      </c>
      <c r="E445">
        <v>25</v>
      </c>
      <c r="F445">
        <v>40</v>
      </c>
      <c r="G445" t="s">
        <v>70</v>
      </c>
      <c r="H445" t="s">
        <v>37</v>
      </c>
      <c r="I445" s="24">
        <v>46054</v>
      </c>
      <c r="J445" t="s">
        <v>118</v>
      </c>
      <c r="K445" t="s">
        <v>117</v>
      </c>
      <c r="L445" t="s">
        <v>118</v>
      </c>
      <c r="M445">
        <v>7</v>
      </c>
      <c r="N445">
        <v>262.5</v>
      </c>
      <c r="O445">
        <v>5.7142857142857144</v>
      </c>
      <c r="P445">
        <v>1</v>
      </c>
    </row>
    <row r="446" spans="1:16" x14ac:dyDescent="0.45">
      <c r="A446" t="s">
        <v>51</v>
      </c>
      <c r="B446" t="s">
        <v>27</v>
      </c>
      <c r="C446" t="s">
        <v>28</v>
      </c>
      <c r="D446" t="s">
        <v>49</v>
      </c>
      <c r="E446">
        <v>25</v>
      </c>
      <c r="F446">
        <v>40</v>
      </c>
      <c r="G446" t="s">
        <v>70</v>
      </c>
      <c r="H446" t="s">
        <v>35</v>
      </c>
      <c r="I446" s="24">
        <v>46054</v>
      </c>
      <c r="J446" t="s">
        <v>118</v>
      </c>
      <c r="K446" t="s">
        <v>117</v>
      </c>
      <c r="L446" t="s">
        <v>118</v>
      </c>
      <c r="M446">
        <v>7</v>
      </c>
      <c r="N446">
        <v>262.5</v>
      </c>
      <c r="O446">
        <v>5.7142857142857144</v>
      </c>
      <c r="P446">
        <v>1</v>
      </c>
    </row>
    <row r="447" spans="1:16" x14ac:dyDescent="0.45">
      <c r="A447" t="s">
        <v>52</v>
      </c>
      <c r="B447" t="s">
        <v>26</v>
      </c>
      <c r="C447" t="s">
        <v>26</v>
      </c>
      <c r="D447" t="s">
        <v>49</v>
      </c>
      <c r="E447">
        <v>35</v>
      </c>
      <c r="F447">
        <v>40</v>
      </c>
      <c r="G447" t="s">
        <v>70</v>
      </c>
      <c r="H447" t="s">
        <v>41</v>
      </c>
      <c r="I447" s="24">
        <v>46054</v>
      </c>
      <c r="J447" t="s">
        <v>118</v>
      </c>
      <c r="K447" t="s">
        <v>117</v>
      </c>
      <c r="L447" t="s">
        <v>118</v>
      </c>
      <c r="M447">
        <v>0</v>
      </c>
      <c r="N447">
        <v>0</v>
      </c>
      <c r="O447">
        <v>5.7142857142857144</v>
      </c>
      <c r="P447">
        <v>0</v>
      </c>
    </row>
    <row r="448" spans="1:16" x14ac:dyDescent="0.45">
      <c r="A448" t="s">
        <v>53</v>
      </c>
      <c r="B448" t="s">
        <v>26</v>
      </c>
      <c r="C448" t="s">
        <v>26</v>
      </c>
      <c r="D448" t="s">
        <v>49</v>
      </c>
      <c r="E448">
        <v>35</v>
      </c>
      <c r="F448">
        <v>40</v>
      </c>
      <c r="G448" t="s">
        <v>70</v>
      </c>
      <c r="H448" t="s">
        <v>42</v>
      </c>
      <c r="I448" s="24">
        <v>46054</v>
      </c>
      <c r="J448" t="s">
        <v>118</v>
      </c>
      <c r="K448" t="s">
        <v>117</v>
      </c>
      <c r="L448" t="s">
        <v>118</v>
      </c>
      <c r="M448">
        <v>7.9999999999999982</v>
      </c>
      <c r="N448">
        <v>419.99999999999989</v>
      </c>
      <c r="O448">
        <v>5.7142857142857144</v>
      </c>
      <c r="P448">
        <v>1</v>
      </c>
    </row>
    <row r="449" spans="1:16" x14ac:dyDescent="0.45">
      <c r="A449" t="s">
        <v>54</v>
      </c>
      <c r="B449" t="s">
        <v>25</v>
      </c>
      <c r="C449" t="s">
        <v>26</v>
      </c>
      <c r="D449" t="s">
        <v>49</v>
      </c>
      <c r="E449">
        <v>28</v>
      </c>
      <c r="F449">
        <v>40</v>
      </c>
      <c r="G449" t="s">
        <v>70</v>
      </c>
      <c r="H449" t="s">
        <v>44</v>
      </c>
      <c r="I449" s="24">
        <v>46054</v>
      </c>
      <c r="J449" t="s">
        <v>118</v>
      </c>
      <c r="K449" t="s">
        <v>117</v>
      </c>
      <c r="L449" t="s">
        <v>118</v>
      </c>
      <c r="M449">
        <v>8</v>
      </c>
      <c r="N449">
        <v>336</v>
      </c>
      <c r="O449">
        <v>5.7142857142857144</v>
      </c>
      <c r="P449">
        <v>1</v>
      </c>
    </row>
    <row r="450" spans="1:16" x14ac:dyDescent="0.45">
      <c r="A450" t="s">
        <v>55</v>
      </c>
      <c r="B450" t="s">
        <v>25</v>
      </c>
      <c r="C450" t="s">
        <v>26</v>
      </c>
      <c r="D450" t="s">
        <v>49</v>
      </c>
      <c r="E450">
        <v>28</v>
      </c>
      <c r="F450">
        <v>40</v>
      </c>
      <c r="G450" t="s">
        <v>70</v>
      </c>
      <c r="H450" t="s">
        <v>41</v>
      </c>
      <c r="I450" s="24">
        <v>46054</v>
      </c>
      <c r="J450" t="s">
        <v>118</v>
      </c>
      <c r="K450" t="s">
        <v>117</v>
      </c>
      <c r="L450" t="s">
        <v>118</v>
      </c>
      <c r="M450">
        <v>0</v>
      </c>
      <c r="N450">
        <v>0</v>
      </c>
      <c r="O450">
        <v>5.7142857142857144</v>
      </c>
      <c r="P450">
        <v>0</v>
      </c>
    </row>
    <row r="451" spans="1:16" x14ac:dyDescent="0.45">
      <c r="A451" t="s">
        <v>56</v>
      </c>
      <c r="B451" t="s">
        <v>29</v>
      </c>
      <c r="C451" t="s">
        <v>29</v>
      </c>
      <c r="D451" t="s">
        <v>49</v>
      </c>
      <c r="E451">
        <v>20</v>
      </c>
      <c r="F451">
        <v>40</v>
      </c>
      <c r="G451" t="s">
        <v>70</v>
      </c>
      <c r="H451" t="s">
        <v>45</v>
      </c>
      <c r="I451" s="24">
        <v>46054</v>
      </c>
      <c r="J451" t="s">
        <v>118</v>
      </c>
      <c r="K451" t="s">
        <v>117</v>
      </c>
      <c r="L451" t="s">
        <v>118</v>
      </c>
      <c r="M451">
        <v>7.9999999999999982</v>
      </c>
      <c r="N451">
        <v>239.99999999999994</v>
      </c>
      <c r="O451">
        <v>5.7142857142857144</v>
      </c>
      <c r="P451">
        <v>1</v>
      </c>
    </row>
    <row r="452" spans="1:16" x14ac:dyDescent="0.45">
      <c r="A452" t="s">
        <v>57</v>
      </c>
      <c r="B452" t="s">
        <v>29</v>
      </c>
      <c r="C452" t="s">
        <v>29</v>
      </c>
      <c r="D452" t="s">
        <v>49</v>
      </c>
      <c r="E452">
        <v>20</v>
      </c>
      <c r="F452">
        <v>40</v>
      </c>
      <c r="G452" t="s">
        <v>70</v>
      </c>
      <c r="H452" t="s">
        <v>41</v>
      </c>
      <c r="I452" s="24">
        <v>46054</v>
      </c>
      <c r="J452" t="s">
        <v>118</v>
      </c>
      <c r="K452" t="s">
        <v>117</v>
      </c>
      <c r="L452" t="s">
        <v>118</v>
      </c>
      <c r="M452">
        <v>0</v>
      </c>
      <c r="N452">
        <v>0</v>
      </c>
      <c r="O452">
        <v>5.7142857142857144</v>
      </c>
      <c r="P452">
        <v>0</v>
      </c>
    </row>
    <row r="453" spans="1:16" x14ac:dyDescent="0.45">
      <c r="A453" t="s">
        <v>58</v>
      </c>
      <c r="B453" t="s">
        <v>29</v>
      </c>
      <c r="C453" t="s">
        <v>29</v>
      </c>
      <c r="D453" t="s">
        <v>49</v>
      </c>
      <c r="E453">
        <v>20</v>
      </c>
      <c r="F453">
        <v>40</v>
      </c>
      <c r="G453" t="s">
        <v>70</v>
      </c>
      <c r="H453" t="s">
        <v>44</v>
      </c>
      <c r="I453" s="24">
        <v>46054</v>
      </c>
      <c r="J453" t="s">
        <v>118</v>
      </c>
      <c r="K453" t="s">
        <v>117</v>
      </c>
      <c r="L453" t="s">
        <v>118</v>
      </c>
      <c r="M453">
        <v>8</v>
      </c>
      <c r="N453">
        <v>240</v>
      </c>
      <c r="O453">
        <v>5.7142857142857144</v>
      </c>
      <c r="P453">
        <v>1</v>
      </c>
    </row>
    <row r="454" spans="1:16" x14ac:dyDescent="0.45">
      <c r="A454" t="s">
        <v>59</v>
      </c>
      <c r="B454" t="s">
        <v>29</v>
      </c>
      <c r="C454" t="s">
        <v>29</v>
      </c>
      <c r="D454" t="s">
        <v>60</v>
      </c>
      <c r="E454">
        <v>15</v>
      </c>
      <c r="F454">
        <v>20</v>
      </c>
      <c r="G454" t="s">
        <v>70</v>
      </c>
      <c r="H454" t="s">
        <v>41</v>
      </c>
      <c r="I454" s="24">
        <v>46054</v>
      </c>
      <c r="J454" t="s">
        <v>118</v>
      </c>
      <c r="K454" t="s">
        <v>117</v>
      </c>
      <c r="L454" t="s">
        <v>118</v>
      </c>
      <c r="M454">
        <v>0</v>
      </c>
      <c r="N454">
        <v>0</v>
      </c>
      <c r="O454">
        <v>2.8571428571428572</v>
      </c>
      <c r="P454">
        <v>0</v>
      </c>
    </row>
    <row r="455" spans="1:16" x14ac:dyDescent="0.45">
      <c r="A455" t="s">
        <v>61</v>
      </c>
      <c r="B455" t="s">
        <v>29</v>
      </c>
      <c r="C455" t="s">
        <v>29</v>
      </c>
      <c r="D455" t="s">
        <v>60</v>
      </c>
      <c r="E455">
        <v>15</v>
      </c>
      <c r="F455">
        <v>20</v>
      </c>
      <c r="G455" t="s">
        <v>70</v>
      </c>
      <c r="H455" t="s">
        <v>41</v>
      </c>
      <c r="I455" s="24">
        <v>46054</v>
      </c>
      <c r="J455" t="s">
        <v>118</v>
      </c>
      <c r="K455" t="s">
        <v>117</v>
      </c>
      <c r="L455" t="s">
        <v>118</v>
      </c>
      <c r="M455">
        <v>0</v>
      </c>
      <c r="N455">
        <v>0</v>
      </c>
      <c r="O455">
        <v>2.8571428571428572</v>
      </c>
      <c r="P455">
        <v>0</v>
      </c>
    </row>
    <row r="456" spans="1:16" x14ac:dyDescent="0.45">
      <c r="A456" t="s">
        <v>62</v>
      </c>
      <c r="B456" t="s">
        <v>29</v>
      </c>
      <c r="C456" t="s">
        <v>29</v>
      </c>
      <c r="D456" t="s">
        <v>60</v>
      </c>
      <c r="E456">
        <v>15</v>
      </c>
      <c r="F456">
        <v>20</v>
      </c>
      <c r="G456" t="s">
        <v>70</v>
      </c>
      <c r="H456" t="s">
        <v>46</v>
      </c>
      <c r="I456" s="24">
        <v>46054</v>
      </c>
      <c r="J456" t="s">
        <v>118</v>
      </c>
      <c r="K456" t="s">
        <v>117</v>
      </c>
      <c r="L456" t="s">
        <v>118</v>
      </c>
      <c r="M456">
        <v>4.9999999999999982</v>
      </c>
      <c r="N456">
        <v>112.49999999999996</v>
      </c>
      <c r="O456">
        <v>2.8571428571428572</v>
      </c>
      <c r="P456">
        <v>1</v>
      </c>
    </row>
    <row r="457" spans="1:16" x14ac:dyDescent="0.45">
      <c r="A457" t="s">
        <v>48</v>
      </c>
      <c r="B457" t="s">
        <v>30</v>
      </c>
      <c r="C457" t="s">
        <v>28</v>
      </c>
      <c r="D457" t="s">
        <v>49</v>
      </c>
      <c r="E457">
        <v>30</v>
      </c>
      <c r="F457">
        <v>40</v>
      </c>
      <c r="G457" t="s">
        <v>64</v>
      </c>
      <c r="H457" t="s">
        <v>35</v>
      </c>
      <c r="I457" s="24">
        <v>46055</v>
      </c>
      <c r="J457" t="s">
        <v>117</v>
      </c>
      <c r="K457" t="s">
        <v>117</v>
      </c>
      <c r="L457" t="s">
        <v>117</v>
      </c>
      <c r="M457">
        <v>7</v>
      </c>
      <c r="N457">
        <v>210</v>
      </c>
      <c r="O457">
        <v>5.7142857142857144</v>
      </c>
      <c r="P457">
        <v>0</v>
      </c>
    </row>
    <row r="458" spans="1:16" x14ac:dyDescent="0.45">
      <c r="A458" t="s">
        <v>50</v>
      </c>
      <c r="B458" t="s">
        <v>27</v>
      </c>
      <c r="C458" t="s">
        <v>28</v>
      </c>
      <c r="D458" t="s">
        <v>49</v>
      </c>
      <c r="E458">
        <v>25</v>
      </c>
      <c r="F458">
        <v>40</v>
      </c>
      <c r="G458" t="s">
        <v>64</v>
      </c>
      <c r="H458" t="s">
        <v>37</v>
      </c>
      <c r="I458" s="24">
        <v>46055</v>
      </c>
      <c r="J458" t="s">
        <v>117</v>
      </c>
      <c r="K458" t="s">
        <v>117</v>
      </c>
      <c r="L458" t="s">
        <v>117</v>
      </c>
      <c r="M458">
        <v>7</v>
      </c>
      <c r="N458">
        <v>175</v>
      </c>
      <c r="O458">
        <v>5.7142857142857144</v>
      </c>
      <c r="P458">
        <v>0</v>
      </c>
    </row>
    <row r="459" spans="1:16" x14ac:dyDescent="0.45">
      <c r="A459" t="s">
        <v>51</v>
      </c>
      <c r="B459" t="s">
        <v>27</v>
      </c>
      <c r="C459" t="s">
        <v>28</v>
      </c>
      <c r="D459" t="s">
        <v>49</v>
      </c>
      <c r="E459">
        <v>25</v>
      </c>
      <c r="F459">
        <v>40</v>
      </c>
      <c r="G459" t="s">
        <v>64</v>
      </c>
      <c r="H459" t="s">
        <v>41</v>
      </c>
      <c r="I459" s="24">
        <v>46055</v>
      </c>
      <c r="J459" t="s">
        <v>117</v>
      </c>
      <c r="K459" t="s">
        <v>117</v>
      </c>
      <c r="L459" t="s">
        <v>117</v>
      </c>
      <c r="M459">
        <v>0</v>
      </c>
      <c r="N459">
        <v>0</v>
      </c>
      <c r="O459">
        <v>5.7142857142857144</v>
      </c>
      <c r="P459">
        <v>0</v>
      </c>
    </row>
    <row r="460" spans="1:16" x14ac:dyDescent="0.45">
      <c r="A460" t="s">
        <v>52</v>
      </c>
      <c r="B460" t="s">
        <v>26</v>
      </c>
      <c r="C460" t="s">
        <v>26</v>
      </c>
      <c r="D460" t="s">
        <v>49</v>
      </c>
      <c r="E460">
        <v>35</v>
      </c>
      <c r="F460">
        <v>40</v>
      </c>
      <c r="G460" t="s">
        <v>64</v>
      </c>
      <c r="H460" t="s">
        <v>42</v>
      </c>
      <c r="I460" s="24">
        <v>46055</v>
      </c>
      <c r="J460" t="s">
        <v>117</v>
      </c>
      <c r="K460" t="s">
        <v>117</v>
      </c>
      <c r="L460" t="s">
        <v>117</v>
      </c>
      <c r="M460">
        <v>7.9999999999999982</v>
      </c>
      <c r="N460">
        <v>279.99999999999994</v>
      </c>
      <c r="O460">
        <v>5.7142857142857144</v>
      </c>
      <c r="P460">
        <v>0</v>
      </c>
    </row>
    <row r="461" spans="1:16" x14ac:dyDescent="0.45">
      <c r="A461" t="s">
        <v>53</v>
      </c>
      <c r="B461" t="s">
        <v>26</v>
      </c>
      <c r="C461" t="s">
        <v>26</v>
      </c>
      <c r="D461" t="s">
        <v>49</v>
      </c>
      <c r="E461">
        <v>35</v>
      </c>
      <c r="F461">
        <v>40</v>
      </c>
      <c r="G461" t="s">
        <v>64</v>
      </c>
      <c r="H461" t="s">
        <v>44</v>
      </c>
      <c r="I461" s="24">
        <v>46055</v>
      </c>
      <c r="J461" t="s">
        <v>117</v>
      </c>
      <c r="K461" t="s">
        <v>117</v>
      </c>
      <c r="L461" t="s">
        <v>117</v>
      </c>
      <c r="M461">
        <v>8</v>
      </c>
      <c r="N461">
        <v>280</v>
      </c>
      <c r="O461">
        <v>5.7142857142857144</v>
      </c>
      <c r="P461">
        <v>0</v>
      </c>
    </row>
    <row r="462" spans="1:16" x14ac:dyDescent="0.45">
      <c r="A462" t="s">
        <v>54</v>
      </c>
      <c r="B462" t="s">
        <v>25</v>
      </c>
      <c r="C462" t="s">
        <v>26</v>
      </c>
      <c r="D462" t="s">
        <v>49</v>
      </c>
      <c r="E462">
        <v>28</v>
      </c>
      <c r="F462">
        <v>40</v>
      </c>
      <c r="G462" t="s">
        <v>64</v>
      </c>
      <c r="H462" t="s">
        <v>41</v>
      </c>
      <c r="I462" s="24">
        <v>46055</v>
      </c>
      <c r="J462" t="s">
        <v>117</v>
      </c>
      <c r="K462" t="s">
        <v>117</v>
      </c>
      <c r="L462" t="s">
        <v>117</v>
      </c>
      <c r="M462">
        <v>0</v>
      </c>
      <c r="N462">
        <v>0</v>
      </c>
      <c r="O462">
        <v>5.7142857142857144</v>
      </c>
      <c r="P462">
        <v>0</v>
      </c>
    </row>
    <row r="463" spans="1:16" x14ac:dyDescent="0.45">
      <c r="A463" t="s">
        <v>55</v>
      </c>
      <c r="B463" t="s">
        <v>25</v>
      </c>
      <c r="C463" t="s">
        <v>26</v>
      </c>
      <c r="D463" t="s">
        <v>49</v>
      </c>
      <c r="E463">
        <v>28</v>
      </c>
      <c r="F463">
        <v>40</v>
      </c>
      <c r="G463" t="s">
        <v>64</v>
      </c>
      <c r="H463" t="s">
        <v>44</v>
      </c>
      <c r="I463" s="24">
        <v>46055</v>
      </c>
      <c r="J463" t="s">
        <v>117</v>
      </c>
      <c r="K463" t="s">
        <v>117</v>
      </c>
      <c r="L463" t="s">
        <v>117</v>
      </c>
      <c r="M463">
        <v>8</v>
      </c>
      <c r="N463">
        <v>224</v>
      </c>
      <c r="O463">
        <v>5.7142857142857144</v>
      </c>
      <c r="P463">
        <v>0</v>
      </c>
    </row>
    <row r="464" spans="1:16" x14ac:dyDescent="0.45">
      <c r="A464" t="s">
        <v>56</v>
      </c>
      <c r="B464" t="s">
        <v>29</v>
      </c>
      <c r="C464" t="s">
        <v>29</v>
      </c>
      <c r="D464" t="s">
        <v>49</v>
      </c>
      <c r="E464">
        <v>20</v>
      </c>
      <c r="F464">
        <v>40</v>
      </c>
      <c r="G464" t="s">
        <v>64</v>
      </c>
      <c r="H464" t="s">
        <v>45</v>
      </c>
      <c r="I464" s="24">
        <v>46055</v>
      </c>
      <c r="J464" t="s">
        <v>117</v>
      </c>
      <c r="K464" t="s">
        <v>117</v>
      </c>
      <c r="L464" t="s">
        <v>117</v>
      </c>
      <c r="M464">
        <v>7.9999999999999982</v>
      </c>
      <c r="N464">
        <v>159.99999999999997</v>
      </c>
      <c r="O464">
        <v>5.7142857142857144</v>
      </c>
      <c r="P464">
        <v>0</v>
      </c>
    </row>
    <row r="465" spans="1:16" x14ac:dyDescent="0.45">
      <c r="A465" t="s">
        <v>57</v>
      </c>
      <c r="B465" t="s">
        <v>29</v>
      </c>
      <c r="C465" t="s">
        <v>29</v>
      </c>
      <c r="D465" t="s">
        <v>49</v>
      </c>
      <c r="E465">
        <v>20</v>
      </c>
      <c r="F465">
        <v>40</v>
      </c>
      <c r="G465" t="s">
        <v>64</v>
      </c>
      <c r="H465" t="s">
        <v>44</v>
      </c>
      <c r="I465" s="24">
        <v>46055</v>
      </c>
      <c r="J465" t="s">
        <v>117</v>
      </c>
      <c r="K465" t="s">
        <v>117</v>
      </c>
      <c r="L465" t="s">
        <v>117</v>
      </c>
      <c r="M465">
        <v>8</v>
      </c>
      <c r="N465">
        <v>160</v>
      </c>
      <c r="O465">
        <v>5.7142857142857144</v>
      </c>
      <c r="P465">
        <v>0</v>
      </c>
    </row>
    <row r="466" spans="1:16" x14ac:dyDescent="0.45">
      <c r="A466" t="s">
        <v>58</v>
      </c>
      <c r="B466" t="s">
        <v>29</v>
      </c>
      <c r="C466" t="s">
        <v>29</v>
      </c>
      <c r="D466" t="s">
        <v>49</v>
      </c>
      <c r="E466">
        <v>20</v>
      </c>
      <c r="F466">
        <v>40</v>
      </c>
      <c r="G466" t="s">
        <v>64</v>
      </c>
      <c r="H466" t="s">
        <v>41</v>
      </c>
      <c r="I466" s="24">
        <v>46055</v>
      </c>
      <c r="J466" t="s">
        <v>117</v>
      </c>
      <c r="K466" t="s">
        <v>117</v>
      </c>
      <c r="L466" t="s">
        <v>117</v>
      </c>
      <c r="M466">
        <v>0</v>
      </c>
      <c r="N466">
        <v>0</v>
      </c>
      <c r="O466">
        <v>5.7142857142857144</v>
      </c>
      <c r="P466">
        <v>0</v>
      </c>
    </row>
    <row r="467" spans="1:16" x14ac:dyDescent="0.45">
      <c r="A467" t="s">
        <v>59</v>
      </c>
      <c r="B467" t="s">
        <v>29</v>
      </c>
      <c r="C467" t="s">
        <v>29</v>
      </c>
      <c r="D467" t="s">
        <v>60</v>
      </c>
      <c r="E467">
        <v>15</v>
      </c>
      <c r="F467">
        <v>20</v>
      </c>
      <c r="G467" t="s">
        <v>64</v>
      </c>
      <c r="H467" t="s">
        <v>41</v>
      </c>
      <c r="I467" s="24">
        <v>46055</v>
      </c>
      <c r="J467" t="s">
        <v>117</v>
      </c>
      <c r="K467" t="s">
        <v>117</v>
      </c>
      <c r="L467" t="s">
        <v>117</v>
      </c>
      <c r="M467">
        <v>0</v>
      </c>
      <c r="N467">
        <v>0</v>
      </c>
      <c r="O467">
        <v>2.8571428571428572</v>
      </c>
      <c r="P467">
        <v>0</v>
      </c>
    </row>
    <row r="468" spans="1:16" x14ac:dyDescent="0.45">
      <c r="A468" t="s">
        <v>61</v>
      </c>
      <c r="B468" t="s">
        <v>29</v>
      </c>
      <c r="C468" t="s">
        <v>29</v>
      </c>
      <c r="D468" t="s">
        <v>60</v>
      </c>
      <c r="E468">
        <v>15</v>
      </c>
      <c r="F468">
        <v>20</v>
      </c>
      <c r="G468" t="s">
        <v>64</v>
      </c>
      <c r="H468" t="s">
        <v>46</v>
      </c>
      <c r="I468" s="24">
        <v>46055</v>
      </c>
      <c r="J468" t="s">
        <v>117</v>
      </c>
      <c r="K468" t="s">
        <v>117</v>
      </c>
      <c r="L468" t="s">
        <v>117</v>
      </c>
      <c r="M468">
        <v>4.9999999999999982</v>
      </c>
      <c r="N468">
        <v>74.999999999999972</v>
      </c>
      <c r="O468">
        <v>2.8571428571428572</v>
      </c>
      <c r="P468">
        <v>0</v>
      </c>
    </row>
    <row r="469" spans="1:16" x14ac:dyDescent="0.45">
      <c r="A469" t="s">
        <v>62</v>
      </c>
      <c r="B469" t="s">
        <v>29</v>
      </c>
      <c r="C469" t="s">
        <v>29</v>
      </c>
      <c r="D469" t="s">
        <v>60</v>
      </c>
      <c r="E469">
        <v>15</v>
      </c>
      <c r="F469">
        <v>20</v>
      </c>
      <c r="G469" t="s">
        <v>64</v>
      </c>
      <c r="H469" t="s">
        <v>40</v>
      </c>
      <c r="I469" s="24">
        <v>46055</v>
      </c>
      <c r="J469" t="s">
        <v>117</v>
      </c>
      <c r="K469" t="s">
        <v>117</v>
      </c>
      <c r="L469" t="s">
        <v>117</v>
      </c>
      <c r="M469">
        <v>5</v>
      </c>
      <c r="N469">
        <v>75</v>
      </c>
      <c r="O469">
        <v>2.8571428571428572</v>
      </c>
      <c r="P469">
        <v>0</v>
      </c>
    </row>
    <row r="470" spans="1:16" x14ac:dyDescent="0.45">
      <c r="A470" t="s">
        <v>48</v>
      </c>
      <c r="B470" t="s">
        <v>30</v>
      </c>
      <c r="C470" t="s">
        <v>28</v>
      </c>
      <c r="D470" t="s">
        <v>49</v>
      </c>
      <c r="E470">
        <v>30</v>
      </c>
      <c r="F470">
        <v>40</v>
      </c>
      <c r="G470" t="s">
        <v>65</v>
      </c>
      <c r="H470" t="s">
        <v>35</v>
      </c>
      <c r="I470" s="24">
        <v>46056</v>
      </c>
      <c r="J470" t="s">
        <v>117</v>
      </c>
      <c r="K470" t="s">
        <v>117</v>
      </c>
      <c r="L470" t="s">
        <v>117</v>
      </c>
      <c r="M470">
        <v>7</v>
      </c>
      <c r="N470">
        <v>210</v>
      </c>
      <c r="O470">
        <v>5.7142857142857144</v>
      </c>
      <c r="P470">
        <v>0</v>
      </c>
    </row>
    <row r="471" spans="1:16" x14ac:dyDescent="0.45">
      <c r="A471" t="s">
        <v>50</v>
      </c>
      <c r="B471" t="s">
        <v>27</v>
      </c>
      <c r="C471" t="s">
        <v>28</v>
      </c>
      <c r="D471" t="s">
        <v>49</v>
      </c>
      <c r="E471">
        <v>25</v>
      </c>
      <c r="F471">
        <v>40</v>
      </c>
      <c r="G471" t="s">
        <v>65</v>
      </c>
      <c r="H471" t="s">
        <v>37</v>
      </c>
      <c r="I471" s="24">
        <v>46056</v>
      </c>
      <c r="J471" t="s">
        <v>117</v>
      </c>
      <c r="K471" t="s">
        <v>117</v>
      </c>
      <c r="L471" t="s">
        <v>117</v>
      </c>
      <c r="M471">
        <v>7</v>
      </c>
      <c r="N471">
        <v>175</v>
      </c>
      <c r="O471">
        <v>5.7142857142857144</v>
      </c>
      <c r="P471">
        <v>0</v>
      </c>
    </row>
    <row r="472" spans="1:16" x14ac:dyDescent="0.45">
      <c r="A472" t="s">
        <v>51</v>
      </c>
      <c r="B472" t="s">
        <v>27</v>
      </c>
      <c r="C472" t="s">
        <v>28</v>
      </c>
      <c r="D472" t="s">
        <v>49</v>
      </c>
      <c r="E472">
        <v>25</v>
      </c>
      <c r="F472">
        <v>40</v>
      </c>
      <c r="G472" t="s">
        <v>65</v>
      </c>
      <c r="H472" t="s">
        <v>41</v>
      </c>
      <c r="I472" s="24">
        <v>46056</v>
      </c>
      <c r="J472" t="s">
        <v>117</v>
      </c>
      <c r="K472" t="s">
        <v>117</v>
      </c>
      <c r="L472" t="s">
        <v>117</v>
      </c>
      <c r="M472">
        <v>0</v>
      </c>
      <c r="N472">
        <v>0</v>
      </c>
      <c r="O472">
        <v>5.7142857142857144</v>
      </c>
      <c r="P472">
        <v>0</v>
      </c>
    </row>
    <row r="473" spans="1:16" x14ac:dyDescent="0.45">
      <c r="A473" t="s">
        <v>52</v>
      </c>
      <c r="B473" t="s">
        <v>26</v>
      </c>
      <c r="C473" t="s">
        <v>26</v>
      </c>
      <c r="D473" t="s">
        <v>49</v>
      </c>
      <c r="E473">
        <v>35</v>
      </c>
      <c r="F473">
        <v>40</v>
      </c>
      <c r="G473" t="s">
        <v>65</v>
      </c>
      <c r="H473" t="s">
        <v>42</v>
      </c>
      <c r="I473" s="24">
        <v>46056</v>
      </c>
      <c r="J473" t="s">
        <v>117</v>
      </c>
      <c r="K473" t="s">
        <v>117</v>
      </c>
      <c r="L473" t="s">
        <v>117</v>
      </c>
      <c r="M473">
        <v>7.9999999999999982</v>
      </c>
      <c r="N473">
        <v>279.99999999999994</v>
      </c>
      <c r="O473">
        <v>5.7142857142857144</v>
      </c>
      <c r="P473">
        <v>0</v>
      </c>
    </row>
    <row r="474" spans="1:16" x14ac:dyDescent="0.45">
      <c r="A474" t="s">
        <v>53</v>
      </c>
      <c r="B474" t="s">
        <v>26</v>
      </c>
      <c r="C474" t="s">
        <v>26</v>
      </c>
      <c r="D474" t="s">
        <v>49</v>
      </c>
      <c r="E474">
        <v>35</v>
      </c>
      <c r="F474">
        <v>40</v>
      </c>
      <c r="G474" t="s">
        <v>65</v>
      </c>
      <c r="H474" t="s">
        <v>44</v>
      </c>
      <c r="I474" s="24">
        <v>46056</v>
      </c>
      <c r="J474" t="s">
        <v>117</v>
      </c>
      <c r="K474" t="s">
        <v>117</v>
      </c>
      <c r="L474" t="s">
        <v>117</v>
      </c>
      <c r="M474">
        <v>8</v>
      </c>
      <c r="N474">
        <v>280</v>
      </c>
      <c r="O474">
        <v>5.7142857142857144</v>
      </c>
      <c r="P474">
        <v>0</v>
      </c>
    </row>
    <row r="475" spans="1:16" x14ac:dyDescent="0.45">
      <c r="A475" t="s">
        <v>54</v>
      </c>
      <c r="B475" t="s">
        <v>25</v>
      </c>
      <c r="C475" t="s">
        <v>26</v>
      </c>
      <c r="D475" t="s">
        <v>49</v>
      </c>
      <c r="E475">
        <v>28</v>
      </c>
      <c r="F475">
        <v>40</v>
      </c>
      <c r="G475" t="s">
        <v>65</v>
      </c>
      <c r="H475" t="s">
        <v>41</v>
      </c>
      <c r="I475" s="24">
        <v>46056</v>
      </c>
      <c r="J475" t="s">
        <v>117</v>
      </c>
      <c r="K475" t="s">
        <v>117</v>
      </c>
      <c r="L475" t="s">
        <v>117</v>
      </c>
      <c r="M475">
        <v>0</v>
      </c>
      <c r="N475">
        <v>0</v>
      </c>
      <c r="O475">
        <v>5.7142857142857144</v>
      </c>
      <c r="P475">
        <v>0</v>
      </c>
    </row>
    <row r="476" spans="1:16" x14ac:dyDescent="0.45">
      <c r="A476" t="s">
        <v>55</v>
      </c>
      <c r="B476" t="s">
        <v>25</v>
      </c>
      <c r="C476" t="s">
        <v>26</v>
      </c>
      <c r="D476" t="s">
        <v>49</v>
      </c>
      <c r="E476">
        <v>28</v>
      </c>
      <c r="F476">
        <v>40</v>
      </c>
      <c r="G476" t="s">
        <v>65</v>
      </c>
      <c r="H476" t="s">
        <v>44</v>
      </c>
      <c r="I476" s="24">
        <v>46056</v>
      </c>
      <c r="J476" t="s">
        <v>117</v>
      </c>
      <c r="K476" t="s">
        <v>117</v>
      </c>
      <c r="L476" t="s">
        <v>117</v>
      </c>
      <c r="M476">
        <v>8</v>
      </c>
      <c r="N476">
        <v>224</v>
      </c>
      <c r="O476">
        <v>5.7142857142857144</v>
      </c>
      <c r="P476">
        <v>0</v>
      </c>
    </row>
    <row r="477" spans="1:16" x14ac:dyDescent="0.45">
      <c r="A477" t="s">
        <v>56</v>
      </c>
      <c r="B477" t="s">
        <v>29</v>
      </c>
      <c r="C477" t="s">
        <v>29</v>
      </c>
      <c r="D477" t="s">
        <v>49</v>
      </c>
      <c r="E477">
        <v>20</v>
      </c>
      <c r="F477">
        <v>40</v>
      </c>
      <c r="G477" t="s">
        <v>65</v>
      </c>
      <c r="H477" t="s">
        <v>45</v>
      </c>
      <c r="I477" s="24">
        <v>46056</v>
      </c>
      <c r="J477" t="s">
        <v>117</v>
      </c>
      <c r="K477" t="s">
        <v>117</v>
      </c>
      <c r="L477" t="s">
        <v>117</v>
      </c>
      <c r="M477">
        <v>7.9999999999999982</v>
      </c>
      <c r="N477">
        <v>159.99999999999997</v>
      </c>
      <c r="O477">
        <v>5.7142857142857144</v>
      </c>
      <c r="P477">
        <v>0</v>
      </c>
    </row>
    <row r="478" spans="1:16" x14ac:dyDescent="0.45">
      <c r="A478" t="s">
        <v>57</v>
      </c>
      <c r="B478" t="s">
        <v>29</v>
      </c>
      <c r="C478" t="s">
        <v>29</v>
      </c>
      <c r="D478" t="s">
        <v>49</v>
      </c>
      <c r="E478">
        <v>20</v>
      </c>
      <c r="F478">
        <v>40</v>
      </c>
      <c r="G478" t="s">
        <v>65</v>
      </c>
      <c r="H478" t="s">
        <v>44</v>
      </c>
      <c r="I478" s="24">
        <v>46056</v>
      </c>
      <c r="J478" t="s">
        <v>117</v>
      </c>
      <c r="K478" t="s">
        <v>117</v>
      </c>
      <c r="L478" t="s">
        <v>117</v>
      </c>
      <c r="M478">
        <v>8</v>
      </c>
      <c r="N478">
        <v>160</v>
      </c>
      <c r="O478">
        <v>5.7142857142857144</v>
      </c>
      <c r="P478">
        <v>0</v>
      </c>
    </row>
    <row r="479" spans="1:16" x14ac:dyDescent="0.45">
      <c r="A479" t="s">
        <v>58</v>
      </c>
      <c r="B479" t="s">
        <v>29</v>
      </c>
      <c r="C479" t="s">
        <v>29</v>
      </c>
      <c r="D479" t="s">
        <v>49</v>
      </c>
      <c r="E479">
        <v>20</v>
      </c>
      <c r="F479">
        <v>40</v>
      </c>
      <c r="G479" t="s">
        <v>65</v>
      </c>
      <c r="H479" t="s">
        <v>41</v>
      </c>
      <c r="I479" s="24">
        <v>46056</v>
      </c>
      <c r="J479" t="s">
        <v>117</v>
      </c>
      <c r="K479" t="s">
        <v>117</v>
      </c>
      <c r="L479" t="s">
        <v>117</v>
      </c>
      <c r="M479">
        <v>0</v>
      </c>
      <c r="N479">
        <v>0</v>
      </c>
      <c r="O479">
        <v>5.7142857142857144</v>
      </c>
      <c r="P479">
        <v>0</v>
      </c>
    </row>
    <row r="480" spans="1:16" x14ac:dyDescent="0.45">
      <c r="A480" t="s">
        <v>59</v>
      </c>
      <c r="B480" t="s">
        <v>29</v>
      </c>
      <c r="C480" t="s">
        <v>29</v>
      </c>
      <c r="D480" t="s">
        <v>60</v>
      </c>
      <c r="E480">
        <v>15</v>
      </c>
      <c r="F480">
        <v>20</v>
      </c>
      <c r="G480" t="s">
        <v>65</v>
      </c>
      <c r="H480" t="s">
        <v>46</v>
      </c>
      <c r="I480" s="24">
        <v>46056</v>
      </c>
      <c r="J480" t="s">
        <v>117</v>
      </c>
      <c r="K480" t="s">
        <v>117</v>
      </c>
      <c r="L480" t="s">
        <v>117</v>
      </c>
      <c r="M480">
        <v>4.9999999999999982</v>
      </c>
      <c r="N480">
        <v>74.999999999999972</v>
      </c>
      <c r="O480">
        <v>2.8571428571428572</v>
      </c>
      <c r="P480">
        <v>0</v>
      </c>
    </row>
    <row r="481" spans="1:16" x14ac:dyDescent="0.45">
      <c r="A481" t="s">
        <v>61</v>
      </c>
      <c r="B481" t="s">
        <v>29</v>
      </c>
      <c r="C481" t="s">
        <v>29</v>
      </c>
      <c r="D481" t="s">
        <v>60</v>
      </c>
      <c r="E481">
        <v>15</v>
      </c>
      <c r="F481">
        <v>20</v>
      </c>
      <c r="G481" t="s">
        <v>65</v>
      </c>
      <c r="H481" t="s">
        <v>40</v>
      </c>
      <c r="I481" s="24">
        <v>46056</v>
      </c>
      <c r="J481" t="s">
        <v>117</v>
      </c>
      <c r="K481" t="s">
        <v>117</v>
      </c>
      <c r="L481" t="s">
        <v>117</v>
      </c>
      <c r="M481">
        <v>5</v>
      </c>
      <c r="N481">
        <v>75</v>
      </c>
      <c r="O481">
        <v>2.8571428571428572</v>
      </c>
      <c r="P481">
        <v>0</v>
      </c>
    </row>
    <row r="482" spans="1:16" x14ac:dyDescent="0.45">
      <c r="A482" t="s">
        <v>62</v>
      </c>
      <c r="B482" t="s">
        <v>29</v>
      </c>
      <c r="C482" t="s">
        <v>29</v>
      </c>
      <c r="D482" t="s">
        <v>60</v>
      </c>
      <c r="E482">
        <v>15</v>
      </c>
      <c r="F482">
        <v>20</v>
      </c>
      <c r="G482" t="s">
        <v>65</v>
      </c>
      <c r="H482" t="s">
        <v>40</v>
      </c>
      <c r="I482" s="24">
        <v>46056</v>
      </c>
      <c r="J482" t="s">
        <v>117</v>
      </c>
      <c r="K482" t="s">
        <v>117</v>
      </c>
      <c r="L482" t="s">
        <v>117</v>
      </c>
      <c r="M482">
        <v>5</v>
      </c>
      <c r="N482">
        <v>75</v>
      </c>
      <c r="O482">
        <v>2.8571428571428572</v>
      </c>
      <c r="P482">
        <v>0</v>
      </c>
    </row>
    <row r="483" spans="1:16" x14ac:dyDescent="0.45">
      <c r="A483" t="s">
        <v>48</v>
      </c>
      <c r="B483" t="s">
        <v>30</v>
      </c>
      <c r="C483" t="s">
        <v>28</v>
      </c>
      <c r="D483" t="s">
        <v>49</v>
      </c>
      <c r="E483">
        <v>30</v>
      </c>
      <c r="F483">
        <v>40</v>
      </c>
      <c r="G483" t="s">
        <v>66</v>
      </c>
      <c r="H483" t="s">
        <v>40</v>
      </c>
      <c r="I483" s="24">
        <v>46057</v>
      </c>
      <c r="J483" t="s">
        <v>117</v>
      </c>
      <c r="K483" t="s">
        <v>117</v>
      </c>
      <c r="L483" t="s">
        <v>117</v>
      </c>
      <c r="M483">
        <v>5</v>
      </c>
      <c r="N483">
        <v>150</v>
      </c>
      <c r="O483">
        <v>5.7142857142857144</v>
      </c>
      <c r="P483">
        <v>0</v>
      </c>
    </row>
    <row r="484" spans="1:16" x14ac:dyDescent="0.45">
      <c r="A484" t="s">
        <v>50</v>
      </c>
      <c r="B484" t="s">
        <v>27</v>
      </c>
      <c r="C484" t="s">
        <v>28</v>
      </c>
      <c r="D484" t="s">
        <v>49</v>
      </c>
      <c r="E484">
        <v>25</v>
      </c>
      <c r="F484">
        <v>40</v>
      </c>
      <c r="G484" t="s">
        <v>66</v>
      </c>
      <c r="H484" t="s">
        <v>41</v>
      </c>
      <c r="I484" s="24">
        <v>46057</v>
      </c>
      <c r="J484" t="s">
        <v>117</v>
      </c>
      <c r="K484" t="s">
        <v>117</v>
      </c>
      <c r="L484" t="s">
        <v>117</v>
      </c>
      <c r="M484">
        <v>0</v>
      </c>
      <c r="N484">
        <v>0</v>
      </c>
      <c r="O484">
        <v>5.7142857142857144</v>
      </c>
      <c r="P484">
        <v>0</v>
      </c>
    </row>
    <row r="485" spans="1:16" x14ac:dyDescent="0.45">
      <c r="A485" t="s">
        <v>51</v>
      </c>
      <c r="B485" t="s">
        <v>27</v>
      </c>
      <c r="C485" t="s">
        <v>28</v>
      </c>
      <c r="D485" t="s">
        <v>49</v>
      </c>
      <c r="E485">
        <v>25</v>
      </c>
      <c r="F485">
        <v>40</v>
      </c>
      <c r="G485" t="s">
        <v>66</v>
      </c>
      <c r="H485" t="s">
        <v>35</v>
      </c>
      <c r="I485" s="24">
        <v>46057</v>
      </c>
      <c r="J485" t="s">
        <v>117</v>
      </c>
      <c r="K485" t="s">
        <v>117</v>
      </c>
      <c r="L485" t="s">
        <v>117</v>
      </c>
      <c r="M485">
        <v>7</v>
      </c>
      <c r="N485">
        <v>175</v>
      </c>
      <c r="O485">
        <v>5.7142857142857144</v>
      </c>
      <c r="P485">
        <v>0</v>
      </c>
    </row>
    <row r="486" spans="1:16" x14ac:dyDescent="0.45">
      <c r="A486" t="s">
        <v>52</v>
      </c>
      <c r="B486" t="s">
        <v>26</v>
      </c>
      <c r="C486" t="s">
        <v>26</v>
      </c>
      <c r="D486" t="s">
        <v>49</v>
      </c>
      <c r="E486">
        <v>35</v>
      </c>
      <c r="F486">
        <v>40</v>
      </c>
      <c r="G486" t="s">
        <v>66</v>
      </c>
      <c r="H486" t="s">
        <v>41</v>
      </c>
      <c r="I486" s="24">
        <v>46057</v>
      </c>
      <c r="J486" t="s">
        <v>117</v>
      </c>
      <c r="K486" t="s">
        <v>117</v>
      </c>
      <c r="L486" t="s">
        <v>117</v>
      </c>
      <c r="M486">
        <v>0</v>
      </c>
      <c r="N486">
        <v>0</v>
      </c>
      <c r="O486">
        <v>5.7142857142857144</v>
      </c>
      <c r="P486">
        <v>0</v>
      </c>
    </row>
    <row r="487" spans="1:16" x14ac:dyDescent="0.45">
      <c r="A487" t="s">
        <v>53</v>
      </c>
      <c r="B487" t="s">
        <v>26</v>
      </c>
      <c r="C487" t="s">
        <v>26</v>
      </c>
      <c r="D487" t="s">
        <v>49</v>
      </c>
      <c r="E487">
        <v>35</v>
      </c>
      <c r="F487">
        <v>40</v>
      </c>
      <c r="G487" t="s">
        <v>66</v>
      </c>
      <c r="H487" t="s">
        <v>42</v>
      </c>
      <c r="I487" s="24">
        <v>46057</v>
      </c>
      <c r="J487" t="s">
        <v>117</v>
      </c>
      <c r="K487" t="s">
        <v>117</v>
      </c>
      <c r="L487" t="s">
        <v>117</v>
      </c>
      <c r="M487">
        <v>7.9999999999999982</v>
      </c>
      <c r="N487">
        <v>279.99999999999994</v>
      </c>
      <c r="O487">
        <v>5.7142857142857144</v>
      </c>
      <c r="P487">
        <v>0</v>
      </c>
    </row>
    <row r="488" spans="1:16" x14ac:dyDescent="0.45">
      <c r="A488" t="s">
        <v>54</v>
      </c>
      <c r="B488" t="s">
        <v>25</v>
      </c>
      <c r="C488" t="s">
        <v>26</v>
      </c>
      <c r="D488" t="s">
        <v>49</v>
      </c>
      <c r="E488">
        <v>28</v>
      </c>
      <c r="F488">
        <v>40</v>
      </c>
      <c r="G488" t="s">
        <v>66</v>
      </c>
      <c r="H488" t="s">
        <v>42</v>
      </c>
      <c r="I488" s="24">
        <v>46057</v>
      </c>
      <c r="J488" t="s">
        <v>117</v>
      </c>
      <c r="K488" t="s">
        <v>117</v>
      </c>
      <c r="L488" t="s">
        <v>117</v>
      </c>
      <c r="M488">
        <v>7.9999999999999982</v>
      </c>
      <c r="N488">
        <v>223.99999999999994</v>
      </c>
      <c r="O488">
        <v>5.7142857142857144</v>
      </c>
      <c r="P488">
        <v>0</v>
      </c>
    </row>
    <row r="489" spans="1:16" x14ac:dyDescent="0.45">
      <c r="A489" t="s">
        <v>55</v>
      </c>
      <c r="B489" t="s">
        <v>25</v>
      </c>
      <c r="C489" t="s">
        <v>26</v>
      </c>
      <c r="D489" t="s">
        <v>49</v>
      </c>
      <c r="E489">
        <v>28</v>
      </c>
      <c r="F489">
        <v>40</v>
      </c>
      <c r="G489" t="s">
        <v>66</v>
      </c>
      <c r="H489" t="s">
        <v>44</v>
      </c>
      <c r="I489" s="24">
        <v>46057</v>
      </c>
      <c r="J489" t="s">
        <v>117</v>
      </c>
      <c r="K489" t="s">
        <v>117</v>
      </c>
      <c r="L489" t="s">
        <v>117</v>
      </c>
      <c r="M489">
        <v>8</v>
      </c>
      <c r="N489">
        <v>224</v>
      </c>
      <c r="O489">
        <v>5.7142857142857144</v>
      </c>
      <c r="P489">
        <v>0</v>
      </c>
    </row>
    <row r="490" spans="1:16" x14ac:dyDescent="0.45">
      <c r="A490" t="s">
        <v>56</v>
      </c>
      <c r="B490" t="s">
        <v>29</v>
      </c>
      <c r="C490" t="s">
        <v>29</v>
      </c>
      <c r="D490" t="s">
        <v>49</v>
      </c>
      <c r="E490">
        <v>20</v>
      </c>
      <c r="F490">
        <v>40</v>
      </c>
      <c r="G490" t="s">
        <v>66</v>
      </c>
      <c r="H490" t="s">
        <v>45</v>
      </c>
      <c r="I490" s="24">
        <v>46057</v>
      </c>
      <c r="J490" t="s">
        <v>117</v>
      </c>
      <c r="K490" t="s">
        <v>117</v>
      </c>
      <c r="L490" t="s">
        <v>117</v>
      </c>
      <c r="M490">
        <v>7.9999999999999982</v>
      </c>
      <c r="N490">
        <v>159.99999999999997</v>
      </c>
      <c r="O490">
        <v>5.7142857142857144</v>
      </c>
      <c r="P490">
        <v>0</v>
      </c>
    </row>
    <row r="491" spans="1:16" x14ac:dyDescent="0.45">
      <c r="A491" t="s">
        <v>57</v>
      </c>
      <c r="B491" t="s">
        <v>29</v>
      </c>
      <c r="C491" t="s">
        <v>29</v>
      </c>
      <c r="D491" t="s">
        <v>49</v>
      </c>
      <c r="E491">
        <v>20</v>
      </c>
      <c r="F491">
        <v>40</v>
      </c>
      <c r="G491" t="s">
        <v>66</v>
      </c>
      <c r="H491" t="s">
        <v>44</v>
      </c>
      <c r="I491" s="24">
        <v>46057</v>
      </c>
      <c r="J491" t="s">
        <v>117</v>
      </c>
      <c r="K491" t="s">
        <v>117</v>
      </c>
      <c r="L491" t="s">
        <v>117</v>
      </c>
      <c r="M491">
        <v>8</v>
      </c>
      <c r="N491">
        <v>160</v>
      </c>
      <c r="O491">
        <v>5.7142857142857144</v>
      </c>
      <c r="P491">
        <v>0</v>
      </c>
    </row>
    <row r="492" spans="1:16" x14ac:dyDescent="0.45">
      <c r="A492" t="s">
        <v>58</v>
      </c>
      <c r="B492" t="s">
        <v>29</v>
      </c>
      <c r="C492" t="s">
        <v>29</v>
      </c>
      <c r="D492" t="s">
        <v>49</v>
      </c>
      <c r="E492">
        <v>20</v>
      </c>
      <c r="F492">
        <v>40</v>
      </c>
      <c r="G492" t="s">
        <v>66</v>
      </c>
      <c r="H492" t="s">
        <v>41</v>
      </c>
      <c r="I492" s="24">
        <v>46057</v>
      </c>
      <c r="J492" t="s">
        <v>117</v>
      </c>
      <c r="K492" t="s">
        <v>117</v>
      </c>
      <c r="L492" t="s">
        <v>117</v>
      </c>
      <c r="M492">
        <v>0</v>
      </c>
      <c r="N492">
        <v>0</v>
      </c>
      <c r="O492">
        <v>5.7142857142857144</v>
      </c>
      <c r="P492">
        <v>0</v>
      </c>
    </row>
    <row r="493" spans="1:16" x14ac:dyDescent="0.45">
      <c r="A493" t="s">
        <v>59</v>
      </c>
      <c r="B493" t="s">
        <v>29</v>
      </c>
      <c r="C493" t="s">
        <v>29</v>
      </c>
      <c r="D493" t="s">
        <v>60</v>
      </c>
      <c r="E493">
        <v>15</v>
      </c>
      <c r="F493">
        <v>20</v>
      </c>
      <c r="G493" t="s">
        <v>66</v>
      </c>
      <c r="H493" t="s">
        <v>46</v>
      </c>
      <c r="I493" s="24">
        <v>46057</v>
      </c>
      <c r="J493" t="s">
        <v>117</v>
      </c>
      <c r="K493" t="s">
        <v>117</v>
      </c>
      <c r="L493" t="s">
        <v>117</v>
      </c>
      <c r="M493">
        <v>4.9999999999999982</v>
      </c>
      <c r="N493">
        <v>74.999999999999972</v>
      </c>
      <c r="O493">
        <v>2.8571428571428572</v>
      </c>
      <c r="P493">
        <v>0</v>
      </c>
    </row>
    <row r="494" spans="1:16" x14ac:dyDescent="0.45">
      <c r="A494" t="s">
        <v>61</v>
      </c>
      <c r="B494" t="s">
        <v>29</v>
      </c>
      <c r="C494" t="s">
        <v>29</v>
      </c>
      <c r="D494" t="s">
        <v>60</v>
      </c>
      <c r="E494">
        <v>15</v>
      </c>
      <c r="F494">
        <v>20</v>
      </c>
      <c r="G494" t="s">
        <v>66</v>
      </c>
      <c r="H494" t="s">
        <v>39</v>
      </c>
      <c r="I494" s="24">
        <v>46057</v>
      </c>
      <c r="J494" t="s">
        <v>117</v>
      </c>
      <c r="K494" t="s">
        <v>117</v>
      </c>
      <c r="L494" t="s">
        <v>117</v>
      </c>
      <c r="M494">
        <v>4.9999999999999982</v>
      </c>
      <c r="N494">
        <v>74.999999999999972</v>
      </c>
      <c r="O494">
        <v>2.8571428571428572</v>
      </c>
      <c r="P494">
        <v>0</v>
      </c>
    </row>
    <row r="495" spans="1:16" x14ac:dyDescent="0.45">
      <c r="A495" t="s">
        <v>62</v>
      </c>
      <c r="B495" t="s">
        <v>29</v>
      </c>
      <c r="C495" t="s">
        <v>29</v>
      </c>
      <c r="D495" t="s">
        <v>60</v>
      </c>
      <c r="E495">
        <v>15</v>
      </c>
      <c r="F495">
        <v>20</v>
      </c>
      <c r="G495" t="s">
        <v>66</v>
      </c>
      <c r="H495" t="s">
        <v>41</v>
      </c>
      <c r="I495" s="24">
        <v>46057</v>
      </c>
      <c r="J495" t="s">
        <v>117</v>
      </c>
      <c r="K495" t="s">
        <v>117</v>
      </c>
      <c r="L495" t="s">
        <v>117</v>
      </c>
      <c r="M495">
        <v>0</v>
      </c>
      <c r="N495">
        <v>0</v>
      </c>
      <c r="O495">
        <v>2.8571428571428572</v>
      </c>
      <c r="P495">
        <v>0</v>
      </c>
    </row>
    <row r="496" spans="1:16" x14ac:dyDescent="0.45">
      <c r="A496" t="s">
        <v>48</v>
      </c>
      <c r="B496" t="s">
        <v>30</v>
      </c>
      <c r="C496" t="s">
        <v>28</v>
      </c>
      <c r="D496" t="s">
        <v>49</v>
      </c>
      <c r="E496">
        <v>30</v>
      </c>
      <c r="F496">
        <v>40</v>
      </c>
      <c r="G496" t="s">
        <v>67</v>
      </c>
      <c r="H496" t="s">
        <v>41</v>
      </c>
      <c r="I496" s="24">
        <v>46058</v>
      </c>
      <c r="J496" t="s">
        <v>117</v>
      </c>
      <c r="K496" t="s">
        <v>117</v>
      </c>
      <c r="L496" t="s">
        <v>117</v>
      </c>
      <c r="M496">
        <v>0</v>
      </c>
      <c r="N496">
        <v>0</v>
      </c>
      <c r="O496">
        <v>5.7142857142857144</v>
      </c>
      <c r="P496">
        <v>0</v>
      </c>
    </row>
    <row r="497" spans="1:16" x14ac:dyDescent="0.45">
      <c r="A497" t="s">
        <v>50</v>
      </c>
      <c r="B497" t="s">
        <v>27</v>
      </c>
      <c r="C497" t="s">
        <v>28</v>
      </c>
      <c r="D497" t="s">
        <v>49</v>
      </c>
      <c r="E497">
        <v>25</v>
      </c>
      <c r="F497">
        <v>40</v>
      </c>
      <c r="G497" t="s">
        <v>67</v>
      </c>
      <c r="H497" t="s">
        <v>37</v>
      </c>
      <c r="I497" s="24">
        <v>46058</v>
      </c>
      <c r="J497" t="s">
        <v>117</v>
      </c>
      <c r="K497" t="s">
        <v>117</v>
      </c>
      <c r="L497" t="s">
        <v>117</v>
      </c>
      <c r="M497">
        <v>7</v>
      </c>
      <c r="N497">
        <v>175</v>
      </c>
      <c r="O497">
        <v>5.7142857142857144</v>
      </c>
      <c r="P497">
        <v>0</v>
      </c>
    </row>
    <row r="498" spans="1:16" x14ac:dyDescent="0.45">
      <c r="A498" t="s">
        <v>51</v>
      </c>
      <c r="B498" t="s">
        <v>27</v>
      </c>
      <c r="C498" t="s">
        <v>28</v>
      </c>
      <c r="D498" t="s">
        <v>49</v>
      </c>
      <c r="E498">
        <v>25</v>
      </c>
      <c r="F498">
        <v>40</v>
      </c>
      <c r="G498" t="s">
        <v>67</v>
      </c>
      <c r="H498" t="s">
        <v>35</v>
      </c>
      <c r="I498" s="24">
        <v>46058</v>
      </c>
      <c r="J498" t="s">
        <v>117</v>
      </c>
      <c r="K498" t="s">
        <v>117</v>
      </c>
      <c r="L498" t="s">
        <v>117</v>
      </c>
      <c r="M498">
        <v>7</v>
      </c>
      <c r="N498">
        <v>175</v>
      </c>
      <c r="O498">
        <v>5.7142857142857144</v>
      </c>
      <c r="P498">
        <v>0</v>
      </c>
    </row>
    <row r="499" spans="1:16" x14ac:dyDescent="0.45">
      <c r="A499" t="s">
        <v>52</v>
      </c>
      <c r="B499" t="s">
        <v>26</v>
      </c>
      <c r="C499" t="s">
        <v>26</v>
      </c>
      <c r="D499" t="s">
        <v>49</v>
      </c>
      <c r="E499">
        <v>35</v>
      </c>
      <c r="F499">
        <v>40</v>
      </c>
      <c r="G499" t="s">
        <v>67</v>
      </c>
      <c r="H499" t="s">
        <v>41</v>
      </c>
      <c r="I499" s="24">
        <v>46058</v>
      </c>
      <c r="J499" t="s">
        <v>117</v>
      </c>
      <c r="K499" t="s">
        <v>117</v>
      </c>
      <c r="L499" t="s">
        <v>117</v>
      </c>
      <c r="M499">
        <v>0</v>
      </c>
      <c r="N499">
        <v>0</v>
      </c>
      <c r="O499">
        <v>5.7142857142857144</v>
      </c>
      <c r="P499">
        <v>0</v>
      </c>
    </row>
    <row r="500" spans="1:16" x14ac:dyDescent="0.45">
      <c r="A500" t="s">
        <v>53</v>
      </c>
      <c r="B500" t="s">
        <v>26</v>
      </c>
      <c r="C500" t="s">
        <v>26</v>
      </c>
      <c r="D500" t="s">
        <v>49</v>
      </c>
      <c r="E500">
        <v>35</v>
      </c>
      <c r="F500">
        <v>40</v>
      </c>
      <c r="G500" t="s">
        <v>67</v>
      </c>
      <c r="H500" t="s">
        <v>44</v>
      </c>
      <c r="I500" s="24">
        <v>46058</v>
      </c>
      <c r="J500" t="s">
        <v>117</v>
      </c>
      <c r="K500" t="s">
        <v>117</v>
      </c>
      <c r="L500" t="s">
        <v>117</v>
      </c>
      <c r="M500">
        <v>8</v>
      </c>
      <c r="N500">
        <v>280</v>
      </c>
      <c r="O500">
        <v>5.7142857142857144</v>
      </c>
      <c r="P500">
        <v>0</v>
      </c>
    </row>
    <row r="501" spans="1:16" x14ac:dyDescent="0.45">
      <c r="A501" t="s">
        <v>54</v>
      </c>
      <c r="B501" t="s">
        <v>25</v>
      </c>
      <c r="C501" t="s">
        <v>26</v>
      </c>
      <c r="D501" t="s">
        <v>49</v>
      </c>
      <c r="E501">
        <v>28</v>
      </c>
      <c r="F501">
        <v>40</v>
      </c>
      <c r="G501" t="s">
        <v>67</v>
      </c>
      <c r="H501" t="s">
        <v>42</v>
      </c>
      <c r="I501" s="24">
        <v>46058</v>
      </c>
      <c r="J501" t="s">
        <v>117</v>
      </c>
      <c r="K501" t="s">
        <v>117</v>
      </c>
      <c r="L501" t="s">
        <v>117</v>
      </c>
      <c r="M501">
        <v>7.9999999999999982</v>
      </c>
      <c r="N501">
        <v>223.99999999999994</v>
      </c>
      <c r="O501">
        <v>5.7142857142857144</v>
      </c>
      <c r="P501">
        <v>0</v>
      </c>
    </row>
    <row r="502" spans="1:16" x14ac:dyDescent="0.45">
      <c r="A502" t="s">
        <v>55</v>
      </c>
      <c r="B502" t="s">
        <v>25</v>
      </c>
      <c r="C502" t="s">
        <v>26</v>
      </c>
      <c r="D502" t="s">
        <v>49</v>
      </c>
      <c r="E502">
        <v>28</v>
      </c>
      <c r="F502">
        <v>40</v>
      </c>
      <c r="G502" t="s">
        <v>67</v>
      </c>
      <c r="H502" t="s">
        <v>44</v>
      </c>
      <c r="I502" s="24">
        <v>46058</v>
      </c>
      <c r="J502" t="s">
        <v>117</v>
      </c>
      <c r="K502" t="s">
        <v>117</v>
      </c>
      <c r="L502" t="s">
        <v>117</v>
      </c>
      <c r="M502">
        <v>8</v>
      </c>
      <c r="N502">
        <v>224</v>
      </c>
      <c r="O502">
        <v>5.7142857142857144</v>
      </c>
      <c r="P502">
        <v>0</v>
      </c>
    </row>
    <row r="503" spans="1:16" x14ac:dyDescent="0.45">
      <c r="A503" t="s">
        <v>56</v>
      </c>
      <c r="B503" t="s">
        <v>29</v>
      </c>
      <c r="C503" t="s">
        <v>29</v>
      </c>
      <c r="D503" t="s">
        <v>49</v>
      </c>
      <c r="E503">
        <v>20</v>
      </c>
      <c r="F503">
        <v>40</v>
      </c>
      <c r="G503" t="s">
        <v>67</v>
      </c>
      <c r="H503" t="s">
        <v>41</v>
      </c>
      <c r="I503" s="24">
        <v>46058</v>
      </c>
      <c r="J503" t="s">
        <v>117</v>
      </c>
      <c r="K503" t="s">
        <v>117</v>
      </c>
      <c r="L503" t="s">
        <v>117</v>
      </c>
      <c r="M503">
        <v>0</v>
      </c>
      <c r="N503">
        <v>0</v>
      </c>
      <c r="O503">
        <v>5.7142857142857144</v>
      </c>
      <c r="P503">
        <v>0</v>
      </c>
    </row>
    <row r="504" spans="1:16" x14ac:dyDescent="0.45">
      <c r="A504" t="s">
        <v>57</v>
      </c>
      <c r="B504" t="s">
        <v>29</v>
      </c>
      <c r="C504" t="s">
        <v>29</v>
      </c>
      <c r="D504" t="s">
        <v>49</v>
      </c>
      <c r="E504">
        <v>20</v>
      </c>
      <c r="F504">
        <v>40</v>
      </c>
      <c r="G504" t="s">
        <v>67</v>
      </c>
      <c r="H504" t="s">
        <v>44</v>
      </c>
      <c r="I504" s="24">
        <v>46058</v>
      </c>
      <c r="J504" t="s">
        <v>117</v>
      </c>
      <c r="K504" t="s">
        <v>117</v>
      </c>
      <c r="L504" t="s">
        <v>117</v>
      </c>
      <c r="M504">
        <v>8</v>
      </c>
      <c r="N504">
        <v>160</v>
      </c>
      <c r="O504">
        <v>5.7142857142857144</v>
      </c>
      <c r="P504">
        <v>0</v>
      </c>
    </row>
    <row r="505" spans="1:16" x14ac:dyDescent="0.45">
      <c r="A505" t="s">
        <v>58</v>
      </c>
      <c r="B505" t="s">
        <v>29</v>
      </c>
      <c r="C505" t="s">
        <v>29</v>
      </c>
      <c r="D505" t="s">
        <v>49</v>
      </c>
      <c r="E505">
        <v>20</v>
      </c>
      <c r="F505">
        <v>40</v>
      </c>
      <c r="G505" t="s">
        <v>67</v>
      </c>
      <c r="H505" t="s">
        <v>44</v>
      </c>
      <c r="I505" s="24">
        <v>46058</v>
      </c>
      <c r="J505" t="s">
        <v>117</v>
      </c>
      <c r="K505" t="s">
        <v>117</v>
      </c>
      <c r="L505" t="s">
        <v>117</v>
      </c>
      <c r="M505">
        <v>8</v>
      </c>
      <c r="N505">
        <v>160</v>
      </c>
      <c r="O505">
        <v>5.7142857142857144</v>
      </c>
      <c r="P505">
        <v>0</v>
      </c>
    </row>
    <row r="506" spans="1:16" x14ac:dyDescent="0.45">
      <c r="A506" t="s">
        <v>59</v>
      </c>
      <c r="B506" t="s">
        <v>29</v>
      </c>
      <c r="C506" t="s">
        <v>29</v>
      </c>
      <c r="D506" t="s">
        <v>60</v>
      </c>
      <c r="E506">
        <v>15</v>
      </c>
      <c r="F506">
        <v>20</v>
      </c>
      <c r="G506" t="s">
        <v>67</v>
      </c>
      <c r="H506" t="s">
        <v>46</v>
      </c>
      <c r="I506" s="24">
        <v>46058</v>
      </c>
      <c r="J506" t="s">
        <v>117</v>
      </c>
      <c r="K506" t="s">
        <v>117</v>
      </c>
      <c r="L506" t="s">
        <v>117</v>
      </c>
      <c r="M506">
        <v>4.9999999999999982</v>
      </c>
      <c r="N506">
        <v>74.999999999999972</v>
      </c>
      <c r="O506">
        <v>2.8571428571428572</v>
      </c>
      <c r="P506">
        <v>0</v>
      </c>
    </row>
    <row r="507" spans="1:16" x14ac:dyDescent="0.45">
      <c r="A507" t="s">
        <v>61</v>
      </c>
      <c r="B507" t="s">
        <v>29</v>
      </c>
      <c r="C507" t="s">
        <v>29</v>
      </c>
      <c r="D507" t="s">
        <v>60</v>
      </c>
      <c r="E507">
        <v>15</v>
      </c>
      <c r="F507">
        <v>20</v>
      </c>
      <c r="G507" t="s">
        <v>67</v>
      </c>
      <c r="H507" t="s">
        <v>41</v>
      </c>
      <c r="I507" s="24">
        <v>46058</v>
      </c>
      <c r="J507" t="s">
        <v>117</v>
      </c>
      <c r="K507" t="s">
        <v>117</v>
      </c>
      <c r="L507" t="s">
        <v>117</v>
      </c>
      <c r="M507">
        <v>0</v>
      </c>
      <c r="N507">
        <v>0</v>
      </c>
      <c r="O507">
        <v>2.8571428571428572</v>
      </c>
      <c r="P507">
        <v>0</v>
      </c>
    </row>
    <row r="508" spans="1:16" x14ac:dyDescent="0.45">
      <c r="A508" t="s">
        <v>62</v>
      </c>
      <c r="B508" t="s">
        <v>29</v>
      </c>
      <c r="C508" t="s">
        <v>29</v>
      </c>
      <c r="D508" t="s">
        <v>60</v>
      </c>
      <c r="E508">
        <v>15</v>
      </c>
      <c r="F508">
        <v>20</v>
      </c>
      <c r="G508" t="s">
        <v>67</v>
      </c>
      <c r="H508" t="s">
        <v>41</v>
      </c>
      <c r="I508" s="24">
        <v>46058</v>
      </c>
      <c r="J508" t="s">
        <v>117</v>
      </c>
      <c r="K508" t="s">
        <v>117</v>
      </c>
      <c r="L508" t="s">
        <v>117</v>
      </c>
      <c r="M508">
        <v>0</v>
      </c>
      <c r="N508">
        <v>0</v>
      </c>
      <c r="O508">
        <v>2.8571428571428572</v>
      </c>
      <c r="P508">
        <v>0</v>
      </c>
    </row>
    <row r="509" spans="1:16" x14ac:dyDescent="0.45">
      <c r="A509" t="s">
        <v>48</v>
      </c>
      <c r="B509" t="s">
        <v>30</v>
      </c>
      <c r="C509" t="s">
        <v>28</v>
      </c>
      <c r="D509" t="s">
        <v>49</v>
      </c>
      <c r="E509">
        <v>30</v>
      </c>
      <c r="F509">
        <v>40</v>
      </c>
      <c r="G509" t="s">
        <v>68</v>
      </c>
      <c r="H509" t="s">
        <v>35</v>
      </c>
      <c r="I509" s="24">
        <v>46059</v>
      </c>
      <c r="J509" t="s">
        <v>117</v>
      </c>
      <c r="K509" t="s">
        <v>117</v>
      </c>
      <c r="L509" t="s">
        <v>117</v>
      </c>
      <c r="M509">
        <v>7</v>
      </c>
      <c r="N509">
        <v>210</v>
      </c>
      <c r="O509">
        <v>5.7142857142857144</v>
      </c>
      <c r="P509">
        <v>0</v>
      </c>
    </row>
    <row r="510" spans="1:16" x14ac:dyDescent="0.45">
      <c r="A510" t="s">
        <v>50</v>
      </c>
      <c r="B510" t="s">
        <v>27</v>
      </c>
      <c r="C510" t="s">
        <v>28</v>
      </c>
      <c r="D510" t="s">
        <v>49</v>
      </c>
      <c r="E510">
        <v>25</v>
      </c>
      <c r="F510">
        <v>40</v>
      </c>
      <c r="G510" t="s">
        <v>68</v>
      </c>
      <c r="H510" t="s">
        <v>37</v>
      </c>
      <c r="I510" s="24">
        <v>46059</v>
      </c>
      <c r="J510" t="s">
        <v>117</v>
      </c>
      <c r="K510" t="s">
        <v>117</v>
      </c>
      <c r="L510" t="s">
        <v>117</v>
      </c>
      <c r="M510">
        <v>7</v>
      </c>
      <c r="N510">
        <v>175</v>
      </c>
      <c r="O510">
        <v>5.7142857142857144</v>
      </c>
      <c r="P510">
        <v>0</v>
      </c>
    </row>
    <row r="511" spans="1:16" x14ac:dyDescent="0.45">
      <c r="A511" t="s">
        <v>51</v>
      </c>
      <c r="B511" t="s">
        <v>27</v>
      </c>
      <c r="C511" t="s">
        <v>28</v>
      </c>
      <c r="D511" t="s">
        <v>49</v>
      </c>
      <c r="E511">
        <v>25</v>
      </c>
      <c r="F511">
        <v>40</v>
      </c>
      <c r="G511" t="s">
        <v>68</v>
      </c>
      <c r="H511" t="s">
        <v>35</v>
      </c>
      <c r="I511" s="24">
        <v>46059</v>
      </c>
      <c r="J511" t="s">
        <v>117</v>
      </c>
      <c r="K511" t="s">
        <v>117</v>
      </c>
      <c r="L511" t="s">
        <v>117</v>
      </c>
      <c r="M511">
        <v>7</v>
      </c>
      <c r="N511">
        <v>175</v>
      </c>
      <c r="O511">
        <v>5.7142857142857144</v>
      </c>
      <c r="P511">
        <v>0</v>
      </c>
    </row>
    <row r="512" spans="1:16" x14ac:dyDescent="0.45">
      <c r="A512" t="s">
        <v>52</v>
      </c>
      <c r="B512" t="s">
        <v>26</v>
      </c>
      <c r="C512" t="s">
        <v>26</v>
      </c>
      <c r="D512" t="s">
        <v>49</v>
      </c>
      <c r="E512">
        <v>35</v>
      </c>
      <c r="F512">
        <v>40</v>
      </c>
      <c r="G512" t="s">
        <v>68</v>
      </c>
      <c r="H512" t="s">
        <v>41</v>
      </c>
      <c r="I512" s="24">
        <v>46059</v>
      </c>
      <c r="J512" t="s">
        <v>117</v>
      </c>
      <c r="K512" t="s">
        <v>117</v>
      </c>
      <c r="L512" t="s">
        <v>117</v>
      </c>
      <c r="M512">
        <v>0</v>
      </c>
      <c r="N512">
        <v>0</v>
      </c>
      <c r="O512">
        <v>5.7142857142857144</v>
      </c>
      <c r="P512">
        <v>0</v>
      </c>
    </row>
    <row r="513" spans="1:16" x14ac:dyDescent="0.45">
      <c r="A513" t="s">
        <v>53</v>
      </c>
      <c r="B513" t="s">
        <v>26</v>
      </c>
      <c r="C513" t="s">
        <v>26</v>
      </c>
      <c r="D513" t="s">
        <v>49</v>
      </c>
      <c r="E513">
        <v>35</v>
      </c>
      <c r="F513">
        <v>40</v>
      </c>
      <c r="G513" t="s">
        <v>68</v>
      </c>
      <c r="H513" t="s">
        <v>41</v>
      </c>
      <c r="I513" s="24">
        <v>46059</v>
      </c>
      <c r="J513" t="s">
        <v>117</v>
      </c>
      <c r="K513" t="s">
        <v>117</v>
      </c>
      <c r="L513" t="s">
        <v>117</v>
      </c>
      <c r="M513">
        <v>0</v>
      </c>
      <c r="N513">
        <v>0</v>
      </c>
      <c r="O513">
        <v>5.7142857142857144</v>
      </c>
      <c r="P513">
        <v>0</v>
      </c>
    </row>
    <row r="514" spans="1:16" x14ac:dyDescent="0.45">
      <c r="A514" t="s">
        <v>54</v>
      </c>
      <c r="B514" t="s">
        <v>25</v>
      </c>
      <c r="C514" t="s">
        <v>26</v>
      </c>
      <c r="D514" t="s">
        <v>49</v>
      </c>
      <c r="E514">
        <v>28</v>
      </c>
      <c r="F514">
        <v>40</v>
      </c>
      <c r="G514" t="s">
        <v>68</v>
      </c>
      <c r="H514" t="s">
        <v>42</v>
      </c>
      <c r="I514" s="24">
        <v>46059</v>
      </c>
      <c r="J514" t="s">
        <v>117</v>
      </c>
      <c r="K514" t="s">
        <v>117</v>
      </c>
      <c r="L514" t="s">
        <v>117</v>
      </c>
      <c r="M514">
        <v>7.9999999999999982</v>
      </c>
      <c r="N514">
        <v>223.99999999999994</v>
      </c>
      <c r="O514">
        <v>5.7142857142857144</v>
      </c>
      <c r="P514">
        <v>0</v>
      </c>
    </row>
    <row r="515" spans="1:16" x14ac:dyDescent="0.45">
      <c r="A515" t="s">
        <v>55</v>
      </c>
      <c r="B515" t="s">
        <v>25</v>
      </c>
      <c r="C515" t="s">
        <v>26</v>
      </c>
      <c r="D515" t="s">
        <v>49</v>
      </c>
      <c r="E515">
        <v>28</v>
      </c>
      <c r="F515">
        <v>40</v>
      </c>
      <c r="G515" t="s">
        <v>68</v>
      </c>
      <c r="H515" t="s">
        <v>44</v>
      </c>
      <c r="I515" s="24">
        <v>46059</v>
      </c>
      <c r="J515" t="s">
        <v>117</v>
      </c>
      <c r="K515" t="s">
        <v>117</v>
      </c>
      <c r="L515" t="s">
        <v>117</v>
      </c>
      <c r="M515">
        <v>8</v>
      </c>
      <c r="N515">
        <v>224</v>
      </c>
      <c r="O515">
        <v>5.7142857142857144</v>
      </c>
      <c r="P515">
        <v>0</v>
      </c>
    </row>
    <row r="516" spans="1:16" x14ac:dyDescent="0.45">
      <c r="A516" t="s">
        <v>56</v>
      </c>
      <c r="B516" t="s">
        <v>29</v>
      </c>
      <c r="C516" t="s">
        <v>29</v>
      </c>
      <c r="D516" t="s">
        <v>49</v>
      </c>
      <c r="E516">
        <v>20</v>
      </c>
      <c r="F516">
        <v>40</v>
      </c>
      <c r="G516" t="s">
        <v>68</v>
      </c>
      <c r="H516" t="s">
        <v>44</v>
      </c>
      <c r="I516" s="24">
        <v>46059</v>
      </c>
      <c r="J516" t="s">
        <v>117</v>
      </c>
      <c r="K516" t="s">
        <v>117</v>
      </c>
      <c r="L516" t="s">
        <v>117</v>
      </c>
      <c r="M516">
        <v>8</v>
      </c>
      <c r="N516">
        <v>160</v>
      </c>
      <c r="O516">
        <v>5.7142857142857144</v>
      </c>
      <c r="P516">
        <v>0</v>
      </c>
    </row>
    <row r="517" spans="1:16" x14ac:dyDescent="0.45">
      <c r="A517" t="s">
        <v>57</v>
      </c>
      <c r="B517" t="s">
        <v>29</v>
      </c>
      <c r="C517" t="s">
        <v>29</v>
      </c>
      <c r="D517" t="s">
        <v>49</v>
      </c>
      <c r="E517">
        <v>20</v>
      </c>
      <c r="F517">
        <v>40</v>
      </c>
      <c r="G517" t="s">
        <v>68</v>
      </c>
      <c r="H517" t="s">
        <v>41</v>
      </c>
      <c r="I517" s="24">
        <v>46059</v>
      </c>
      <c r="J517" t="s">
        <v>117</v>
      </c>
      <c r="K517" t="s">
        <v>117</v>
      </c>
      <c r="L517" t="s">
        <v>117</v>
      </c>
      <c r="M517">
        <v>0</v>
      </c>
      <c r="N517">
        <v>0</v>
      </c>
      <c r="O517">
        <v>5.7142857142857144</v>
      </c>
      <c r="P517">
        <v>0</v>
      </c>
    </row>
    <row r="518" spans="1:16" x14ac:dyDescent="0.45">
      <c r="A518" t="s">
        <v>58</v>
      </c>
      <c r="B518" t="s">
        <v>29</v>
      </c>
      <c r="C518" t="s">
        <v>29</v>
      </c>
      <c r="D518" t="s">
        <v>49</v>
      </c>
      <c r="E518">
        <v>20</v>
      </c>
      <c r="F518">
        <v>40</v>
      </c>
      <c r="G518" t="s">
        <v>68</v>
      </c>
      <c r="H518" t="s">
        <v>46</v>
      </c>
      <c r="I518" s="24">
        <v>46059</v>
      </c>
      <c r="J518" t="s">
        <v>117</v>
      </c>
      <c r="K518" t="s">
        <v>117</v>
      </c>
      <c r="L518" t="s">
        <v>117</v>
      </c>
      <c r="M518">
        <v>4.9999999999999982</v>
      </c>
      <c r="N518">
        <v>99.999999999999972</v>
      </c>
      <c r="O518">
        <v>5.7142857142857144</v>
      </c>
      <c r="P518">
        <v>0</v>
      </c>
    </row>
    <row r="519" spans="1:16" x14ac:dyDescent="0.45">
      <c r="A519" t="s">
        <v>59</v>
      </c>
      <c r="B519" t="s">
        <v>29</v>
      </c>
      <c r="C519" t="s">
        <v>29</v>
      </c>
      <c r="D519" t="s">
        <v>60</v>
      </c>
      <c r="E519">
        <v>15</v>
      </c>
      <c r="F519">
        <v>20</v>
      </c>
      <c r="G519" t="s">
        <v>68</v>
      </c>
      <c r="H519" t="s">
        <v>46</v>
      </c>
      <c r="I519" s="24">
        <v>46059</v>
      </c>
      <c r="J519" t="s">
        <v>117</v>
      </c>
      <c r="K519" t="s">
        <v>117</v>
      </c>
      <c r="L519" t="s">
        <v>117</v>
      </c>
      <c r="M519">
        <v>4.9999999999999982</v>
      </c>
      <c r="N519">
        <v>74.999999999999972</v>
      </c>
      <c r="O519">
        <v>2.8571428571428572</v>
      </c>
      <c r="P519">
        <v>0</v>
      </c>
    </row>
    <row r="520" spans="1:16" x14ac:dyDescent="0.45">
      <c r="A520" t="s">
        <v>61</v>
      </c>
      <c r="B520" t="s">
        <v>29</v>
      </c>
      <c r="C520" t="s">
        <v>29</v>
      </c>
      <c r="D520" t="s">
        <v>60</v>
      </c>
      <c r="E520">
        <v>15</v>
      </c>
      <c r="F520">
        <v>20</v>
      </c>
      <c r="G520" t="s">
        <v>68</v>
      </c>
      <c r="H520" t="s">
        <v>46</v>
      </c>
      <c r="I520" s="24">
        <v>46059</v>
      </c>
      <c r="J520" t="s">
        <v>117</v>
      </c>
      <c r="K520" t="s">
        <v>117</v>
      </c>
      <c r="L520" t="s">
        <v>117</v>
      </c>
      <c r="M520">
        <v>4.9999999999999982</v>
      </c>
      <c r="N520">
        <v>74.999999999999972</v>
      </c>
      <c r="O520">
        <v>2.8571428571428572</v>
      </c>
      <c r="P520">
        <v>0</v>
      </c>
    </row>
    <row r="521" spans="1:16" x14ac:dyDescent="0.45">
      <c r="A521" t="s">
        <v>62</v>
      </c>
      <c r="B521" t="s">
        <v>29</v>
      </c>
      <c r="C521" t="s">
        <v>29</v>
      </c>
      <c r="D521" t="s">
        <v>60</v>
      </c>
      <c r="E521">
        <v>15</v>
      </c>
      <c r="F521">
        <v>20</v>
      </c>
      <c r="G521" t="s">
        <v>68</v>
      </c>
      <c r="H521" t="s">
        <v>39</v>
      </c>
      <c r="I521" s="24">
        <v>46059</v>
      </c>
      <c r="J521" t="s">
        <v>117</v>
      </c>
      <c r="K521" t="s">
        <v>117</v>
      </c>
      <c r="L521" t="s">
        <v>117</v>
      </c>
      <c r="M521">
        <v>4.9999999999999982</v>
      </c>
      <c r="N521">
        <v>74.999999999999972</v>
      </c>
      <c r="O521">
        <v>2.8571428571428572</v>
      </c>
      <c r="P521">
        <v>0</v>
      </c>
    </row>
    <row r="522" spans="1:16" x14ac:dyDescent="0.45">
      <c r="A522" t="s">
        <v>48</v>
      </c>
      <c r="B522" t="s">
        <v>30</v>
      </c>
      <c r="C522" t="s">
        <v>28</v>
      </c>
      <c r="D522" t="s">
        <v>49</v>
      </c>
      <c r="E522">
        <v>30</v>
      </c>
      <c r="F522">
        <v>40</v>
      </c>
      <c r="G522" t="s">
        <v>69</v>
      </c>
      <c r="H522" t="s">
        <v>37</v>
      </c>
      <c r="I522" s="24">
        <v>46060</v>
      </c>
      <c r="J522" t="s">
        <v>118</v>
      </c>
      <c r="K522" t="s">
        <v>117</v>
      </c>
      <c r="L522" t="s">
        <v>118</v>
      </c>
      <c r="M522">
        <v>7</v>
      </c>
      <c r="N522">
        <v>315</v>
      </c>
      <c r="O522">
        <v>5.7142857142857144</v>
      </c>
      <c r="P522">
        <v>1</v>
      </c>
    </row>
    <row r="523" spans="1:16" x14ac:dyDescent="0.45">
      <c r="A523" t="s">
        <v>50</v>
      </c>
      <c r="B523" t="s">
        <v>27</v>
      </c>
      <c r="C523" t="s">
        <v>28</v>
      </c>
      <c r="D523" t="s">
        <v>49</v>
      </c>
      <c r="E523">
        <v>25</v>
      </c>
      <c r="F523">
        <v>40</v>
      </c>
      <c r="G523" t="s">
        <v>69</v>
      </c>
      <c r="H523" t="s">
        <v>40</v>
      </c>
      <c r="I523" s="24">
        <v>46060</v>
      </c>
      <c r="J523" t="s">
        <v>118</v>
      </c>
      <c r="K523" t="s">
        <v>117</v>
      </c>
      <c r="L523" t="s">
        <v>118</v>
      </c>
      <c r="M523">
        <v>5</v>
      </c>
      <c r="N523">
        <v>187.5</v>
      </c>
      <c r="O523">
        <v>5.7142857142857144</v>
      </c>
      <c r="P523">
        <v>1</v>
      </c>
    </row>
    <row r="524" spans="1:16" x14ac:dyDescent="0.45">
      <c r="A524" t="s">
        <v>51</v>
      </c>
      <c r="B524" t="s">
        <v>27</v>
      </c>
      <c r="C524" t="s">
        <v>28</v>
      </c>
      <c r="D524" t="s">
        <v>49</v>
      </c>
      <c r="E524">
        <v>25</v>
      </c>
      <c r="F524">
        <v>40</v>
      </c>
      <c r="G524" t="s">
        <v>69</v>
      </c>
      <c r="H524" t="s">
        <v>35</v>
      </c>
      <c r="I524" s="24">
        <v>46060</v>
      </c>
      <c r="J524" t="s">
        <v>118</v>
      </c>
      <c r="K524" t="s">
        <v>117</v>
      </c>
      <c r="L524" t="s">
        <v>118</v>
      </c>
      <c r="M524">
        <v>7</v>
      </c>
      <c r="N524">
        <v>262.5</v>
      </c>
      <c r="O524">
        <v>5.7142857142857144</v>
      </c>
      <c r="P524">
        <v>1</v>
      </c>
    </row>
    <row r="525" spans="1:16" x14ac:dyDescent="0.45">
      <c r="A525" t="s">
        <v>52</v>
      </c>
      <c r="B525" t="s">
        <v>26</v>
      </c>
      <c r="C525" t="s">
        <v>26</v>
      </c>
      <c r="D525" t="s">
        <v>49</v>
      </c>
      <c r="E525">
        <v>35</v>
      </c>
      <c r="F525">
        <v>40</v>
      </c>
      <c r="G525" t="s">
        <v>69</v>
      </c>
      <c r="H525" t="s">
        <v>41</v>
      </c>
      <c r="I525" s="24">
        <v>46060</v>
      </c>
      <c r="J525" t="s">
        <v>118</v>
      </c>
      <c r="K525" t="s">
        <v>117</v>
      </c>
      <c r="L525" t="s">
        <v>118</v>
      </c>
      <c r="M525">
        <v>0</v>
      </c>
      <c r="N525">
        <v>0</v>
      </c>
      <c r="O525">
        <v>5.7142857142857144</v>
      </c>
      <c r="P525">
        <v>0</v>
      </c>
    </row>
    <row r="526" spans="1:16" x14ac:dyDescent="0.45">
      <c r="A526" t="s">
        <v>53</v>
      </c>
      <c r="B526" t="s">
        <v>26</v>
      </c>
      <c r="C526" t="s">
        <v>26</v>
      </c>
      <c r="D526" t="s">
        <v>49</v>
      </c>
      <c r="E526">
        <v>35</v>
      </c>
      <c r="F526">
        <v>40</v>
      </c>
      <c r="G526" t="s">
        <v>69</v>
      </c>
      <c r="H526" t="s">
        <v>42</v>
      </c>
      <c r="I526" s="24">
        <v>46060</v>
      </c>
      <c r="J526" t="s">
        <v>118</v>
      </c>
      <c r="K526" t="s">
        <v>117</v>
      </c>
      <c r="L526" t="s">
        <v>118</v>
      </c>
      <c r="M526">
        <v>7.9999999999999982</v>
      </c>
      <c r="N526">
        <v>419.99999999999989</v>
      </c>
      <c r="O526">
        <v>5.7142857142857144</v>
      </c>
      <c r="P526">
        <v>1</v>
      </c>
    </row>
    <row r="527" spans="1:16" x14ac:dyDescent="0.45">
      <c r="A527" t="s">
        <v>54</v>
      </c>
      <c r="B527" t="s">
        <v>25</v>
      </c>
      <c r="C527" t="s">
        <v>26</v>
      </c>
      <c r="D527" t="s">
        <v>49</v>
      </c>
      <c r="E527">
        <v>28</v>
      </c>
      <c r="F527">
        <v>40</v>
      </c>
      <c r="G527" t="s">
        <v>69</v>
      </c>
      <c r="H527" t="s">
        <v>44</v>
      </c>
      <c r="I527" s="24">
        <v>46060</v>
      </c>
      <c r="J527" t="s">
        <v>118</v>
      </c>
      <c r="K527" t="s">
        <v>117</v>
      </c>
      <c r="L527" t="s">
        <v>118</v>
      </c>
      <c r="M527">
        <v>8</v>
      </c>
      <c r="N527">
        <v>336</v>
      </c>
      <c r="O527">
        <v>5.7142857142857144</v>
      </c>
      <c r="P527">
        <v>1</v>
      </c>
    </row>
    <row r="528" spans="1:16" x14ac:dyDescent="0.45">
      <c r="A528" t="s">
        <v>55</v>
      </c>
      <c r="B528" t="s">
        <v>25</v>
      </c>
      <c r="C528" t="s">
        <v>26</v>
      </c>
      <c r="D528" t="s">
        <v>49</v>
      </c>
      <c r="E528">
        <v>28</v>
      </c>
      <c r="F528">
        <v>40</v>
      </c>
      <c r="G528" t="s">
        <v>69</v>
      </c>
      <c r="H528" t="s">
        <v>41</v>
      </c>
      <c r="I528" s="24">
        <v>46060</v>
      </c>
      <c r="J528" t="s">
        <v>118</v>
      </c>
      <c r="K528" t="s">
        <v>117</v>
      </c>
      <c r="L528" t="s">
        <v>118</v>
      </c>
      <c r="M528">
        <v>0</v>
      </c>
      <c r="N528">
        <v>0</v>
      </c>
      <c r="O528">
        <v>5.7142857142857144</v>
      </c>
      <c r="P528">
        <v>0</v>
      </c>
    </row>
    <row r="529" spans="1:16" x14ac:dyDescent="0.45">
      <c r="A529" t="s">
        <v>56</v>
      </c>
      <c r="B529" t="s">
        <v>29</v>
      </c>
      <c r="C529" t="s">
        <v>29</v>
      </c>
      <c r="D529" t="s">
        <v>49</v>
      </c>
      <c r="E529">
        <v>20</v>
      </c>
      <c r="F529">
        <v>40</v>
      </c>
      <c r="G529" t="s">
        <v>69</v>
      </c>
      <c r="H529" t="s">
        <v>45</v>
      </c>
      <c r="I529" s="24">
        <v>46060</v>
      </c>
      <c r="J529" t="s">
        <v>118</v>
      </c>
      <c r="K529" t="s">
        <v>117</v>
      </c>
      <c r="L529" t="s">
        <v>118</v>
      </c>
      <c r="M529">
        <v>7.9999999999999982</v>
      </c>
      <c r="N529">
        <v>239.99999999999994</v>
      </c>
      <c r="O529">
        <v>5.7142857142857144</v>
      </c>
      <c r="P529">
        <v>1</v>
      </c>
    </row>
    <row r="530" spans="1:16" x14ac:dyDescent="0.45">
      <c r="A530" t="s">
        <v>57</v>
      </c>
      <c r="B530" t="s">
        <v>29</v>
      </c>
      <c r="C530" t="s">
        <v>29</v>
      </c>
      <c r="D530" t="s">
        <v>49</v>
      </c>
      <c r="E530">
        <v>20</v>
      </c>
      <c r="F530">
        <v>40</v>
      </c>
      <c r="G530" t="s">
        <v>69</v>
      </c>
      <c r="H530" t="s">
        <v>41</v>
      </c>
      <c r="I530" s="24">
        <v>46060</v>
      </c>
      <c r="J530" t="s">
        <v>118</v>
      </c>
      <c r="K530" t="s">
        <v>117</v>
      </c>
      <c r="L530" t="s">
        <v>118</v>
      </c>
      <c r="M530">
        <v>0</v>
      </c>
      <c r="N530">
        <v>0</v>
      </c>
      <c r="O530">
        <v>5.7142857142857144</v>
      </c>
      <c r="P530">
        <v>0</v>
      </c>
    </row>
    <row r="531" spans="1:16" x14ac:dyDescent="0.45">
      <c r="A531" t="s">
        <v>58</v>
      </c>
      <c r="B531" t="s">
        <v>29</v>
      </c>
      <c r="C531" t="s">
        <v>29</v>
      </c>
      <c r="D531" t="s">
        <v>49</v>
      </c>
      <c r="E531">
        <v>20</v>
      </c>
      <c r="F531">
        <v>40</v>
      </c>
      <c r="G531" t="s">
        <v>69</v>
      </c>
      <c r="H531" t="s">
        <v>44</v>
      </c>
      <c r="I531" s="24">
        <v>46060</v>
      </c>
      <c r="J531" t="s">
        <v>118</v>
      </c>
      <c r="K531" t="s">
        <v>117</v>
      </c>
      <c r="L531" t="s">
        <v>118</v>
      </c>
      <c r="M531">
        <v>8</v>
      </c>
      <c r="N531">
        <v>240</v>
      </c>
      <c r="O531">
        <v>5.7142857142857144</v>
      </c>
      <c r="P531">
        <v>1</v>
      </c>
    </row>
    <row r="532" spans="1:16" x14ac:dyDescent="0.45">
      <c r="A532" t="s">
        <v>59</v>
      </c>
      <c r="B532" t="s">
        <v>29</v>
      </c>
      <c r="C532" t="s">
        <v>29</v>
      </c>
      <c r="D532" t="s">
        <v>60</v>
      </c>
      <c r="E532">
        <v>15</v>
      </c>
      <c r="F532">
        <v>20</v>
      </c>
      <c r="G532" t="s">
        <v>69</v>
      </c>
      <c r="H532" t="s">
        <v>41</v>
      </c>
      <c r="I532" s="24">
        <v>46060</v>
      </c>
      <c r="J532" t="s">
        <v>118</v>
      </c>
      <c r="K532" t="s">
        <v>117</v>
      </c>
      <c r="L532" t="s">
        <v>118</v>
      </c>
      <c r="M532">
        <v>0</v>
      </c>
      <c r="N532">
        <v>0</v>
      </c>
      <c r="O532">
        <v>2.8571428571428572</v>
      </c>
      <c r="P532">
        <v>0</v>
      </c>
    </row>
    <row r="533" spans="1:16" x14ac:dyDescent="0.45">
      <c r="A533" t="s">
        <v>61</v>
      </c>
      <c r="B533" t="s">
        <v>29</v>
      </c>
      <c r="C533" t="s">
        <v>29</v>
      </c>
      <c r="D533" t="s">
        <v>60</v>
      </c>
      <c r="E533">
        <v>15</v>
      </c>
      <c r="F533">
        <v>20</v>
      </c>
      <c r="G533" t="s">
        <v>69</v>
      </c>
      <c r="H533" t="s">
        <v>41</v>
      </c>
      <c r="I533" s="24">
        <v>46060</v>
      </c>
      <c r="J533" t="s">
        <v>118</v>
      </c>
      <c r="K533" t="s">
        <v>117</v>
      </c>
      <c r="L533" t="s">
        <v>118</v>
      </c>
      <c r="M533">
        <v>0</v>
      </c>
      <c r="N533">
        <v>0</v>
      </c>
      <c r="O533">
        <v>2.8571428571428572</v>
      </c>
      <c r="P533">
        <v>0</v>
      </c>
    </row>
    <row r="534" spans="1:16" x14ac:dyDescent="0.45">
      <c r="A534" t="s">
        <v>62</v>
      </c>
      <c r="B534" t="s">
        <v>29</v>
      </c>
      <c r="C534" t="s">
        <v>29</v>
      </c>
      <c r="D534" t="s">
        <v>60</v>
      </c>
      <c r="E534">
        <v>15</v>
      </c>
      <c r="F534">
        <v>20</v>
      </c>
      <c r="G534" t="s">
        <v>69</v>
      </c>
      <c r="H534" t="s">
        <v>40</v>
      </c>
      <c r="I534" s="24">
        <v>46060</v>
      </c>
      <c r="J534" t="s">
        <v>118</v>
      </c>
      <c r="K534" t="s">
        <v>117</v>
      </c>
      <c r="L534" t="s">
        <v>118</v>
      </c>
      <c r="M534">
        <v>5</v>
      </c>
      <c r="N534">
        <v>112.5</v>
      </c>
      <c r="O534">
        <v>2.8571428571428572</v>
      </c>
      <c r="P534">
        <v>1</v>
      </c>
    </row>
    <row r="535" spans="1:16" x14ac:dyDescent="0.45">
      <c r="A535" t="s">
        <v>48</v>
      </c>
      <c r="B535" t="s">
        <v>30</v>
      </c>
      <c r="C535" t="s">
        <v>28</v>
      </c>
      <c r="D535" t="s">
        <v>49</v>
      </c>
      <c r="E535">
        <v>30</v>
      </c>
      <c r="F535">
        <v>40</v>
      </c>
      <c r="G535" t="s">
        <v>70</v>
      </c>
      <c r="H535" t="s">
        <v>41</v>
      </c>
      <c r="I535" s="24">
        <v>46061</v>
      </c>
      <c r="J535" t="s">
        <v>118</v>
      </c>
      <c r="K535" t="s">
        <v>117</v>
      </c>
      <c r="L535" t="s">
        <v>118</v>
      </c>
      <c r="M535">
        <v>0</v>
      </c>
      <c r="N535">
        <v>0</v>
      </c>
      <c r="O535">
        <v>5.7142857142857144</v>
      </c>
      <c r="P535">
        <v>0</v>
      </c>
    </row>
    <row r="536" spans="1:16" x14ac:dyDescent="0.45">
      <c r="A536" t="s">
        <v>50</v>
      </c>
      <c r="B536" t="s">
        <v>27</v>
      </c>
      <c r="C536" t="s">
        <v>28</v>
      </c>
      <c r="D536" t="s">
        <v>49</v>
      </c>
      <c r="E536">
        <v>25</v>
      </c>
      <c r="F536">
        <v>40</v>
      </c>
      <c r="G536" t="s">
        <v>70</v>
      </c>
      <c r="H536" t="s">
        <v>37</v>
      </c>
      <c r="I536" s="24">
        <v>46061</v>
      </c>
      <c r="J536" t="s">
        <v>118</v>
      </c>
      <c r="K536" t="s">
        <v>117</v>
      </c>
      <c r="L536" t="s">
        <v>118</v>
      </c>
      <c r="M536">
        <v>7</v>
      </c>
      <c r="N536">
        <v>262.5</v>
      </c>
      <c r="O536">
        <v>5.7142857142857144</v>
      </c>
      <c r="P536">
        <v>1</v>
      </c>
    </row>
    <row r="537" spans="1:16" x14ac:dyDescent="0.45">
      <c r="A537" t="s">
        <v>51</v>
      </c>
      <c r="B537" t="s">
        <v>27</v>
      </c>
      <c r="C537" t="s">
        <v>28</v>
      </c>
      <c r="D537" t="s">
        <v>49</v>
      </c>
      <c r="E537">
        <v>25</v>
      </c>
      <c r="F537">
        <v>40</v>
      </c>
      <c r="G537" t="s">
        <v>70</v>
      </c>
      <c r="H537" t="s">
        <v>35</v>
      </c>
      <c r="I537" s="24">
        <v>46061</v>
      </c>
      <c r="J537" t="s">
        <v>118</v>
      </c>
      <c r="K537" t="s">
        <v>117</v>
      </c>
      <c r="L537" t="s">
        <v>118</v>
      </c>
      <c r="M537">
        <v>7</v>
      </c>
      <c r="N537">
        <v>262.5</v>
      </c>
      <c r="O537">
        <v>5.7142857142857144</v>
      </c>
      <c r="P537">
        <v>1</v>
      </c>
    </row>
    <row r="538" spans="1:16" x14ac:dyDescent="0.45">
      <c r="A538" t="s">
        <v>52</v>
      </c>
      <c r="B538" t="s">
        <v>26</v>
      </c>
      <c r="C538" t="s">
        <v>26</v>
      </c>
      <c r="D538" t="s">
        <v>49</v>
      </c>
      <c r="E538">
        <v>35</v>
      </c>
      <c r="F538">
        <v>40</v>
      </c>
      <c r="G538" t="s">
        <v>70</v>
      </c>
      <c r="H538" t="s">
        <v>41</v>
      </c>
      <c r="I538" s="24">
        <v>46061</v>
      </c>
      <c r="J538" t="s">
        <v>118</v>
      </c>
      <c r="K538" t="s">
        <v>117</v>
      </c>
      <c r="L538" t="s">
        <v>118</v>
      </c>
      <c r="M538">
        <v>0</v>
      </c>
      <c r="N538">
        <v>0</v>
      </c>
      <c r="O538">
        <v>5.7142857142857144</v>
      </c>
      <c r="P538">
        <v>0</v>
      </c>
    </row>
    <row r="539" spans="1:16" x14ac:dyDescent="0.45">
      <c r="A539" t="s">
        <v>53</v>
      </c>
      <c r="B539" t="s">
        <v>26</v>
      </c>
      <c r="C539" t="s">
        <v>26</v>
      </c>
      <c r="D539" t="s">
        <v>49</v>
      </c>
      <c r="E539">
        <v>35</v>
      </c>
      <c r="F539">
        <v>40</v>
      </c>
      <c r="G539" t="s">
        <v>70</v>
      </c>
      <c r="H539" t="s">
        <v>42</v>
      </c>
      <c r="I539" s="24">
        <v>46061</v>
      </c>
      <c r="J539" t="s">
        <v>118</v>
      </c>
      <c r="K539" t="s">
        <v>117</v>
      </c>
      <c r="L539" t="s">
        <v>118</v>
      </c>
      <c r="M539">
        <v>7.9999999999999982</v>
      </c>
      <c r="N539">
        <v>419.99999999999989</v>
      </c>
      <c r="O539">
        <v>5.7142857142857144</v>
      </c>
      <c r="P539">
        <v>1</v>
      </c>
    </row>
    <row r="540" spans="1:16" x14ac:dyDescent="0.45">
      <c r="A540" t="s">
        <v>54</v>
      </c>
      <c r="B540" t="s">
        <v>25</v>
      </c>
      <c r="C540" t="s">
        <v>26</v>
      </c>
      <c r="D540" t="s">
        <v>49</v>
      </c>
      <c r="E540">
        <v>28</v>
      </c>
      <c r="F540">
        <v>40</v>
      </c>
      <c r="G540" t="s">
        <v>70</v>
      </c>
      <c r="H540" t="s">
        <v>44</v>
      </c>
      <c r="I540" s="24">
        <v>46061</v>
      </c>
      <c r="J540" t="s">
        <v>118</v>
      </c>
      <c r="K540" t="s">
        <v>117</v>
      </c>
      <c r="L540" t="s">
        <v>118</v>
      </c>
      <c r="M540">
        <v>8</v>
      </c>
      <c r="N540">
        <v>336</v>
      </c>
      <c r="O540">
        <v>5.7142857142857144</v>
      </c>
      <c r="P540">
        <v>1</v>
      </c>
    </row>
    <row r="541" spans="1:16" x14ac:dyDescent="0.45">
      <c r="A541" t="s">
        <v>55</v>
      </c>
      <c r="B541" t="s">
        <v>25</v>
      </c>
      <c r="C541" t="s">
        <v>26</v>
      </c>
      <c r="D541" t="s">
        <v>49</v>
      </c>
      <c r="E541">
        <v>28</v>
      </c>
      <c r="F541">
        <v>40</v>
      </c>
      <c r="G541" t="s">
        <v>70</v>
      </c>
      <c r="H541" t="s">
        <v>41</v>
      </c>
      <c r="I541" s="24">
        <v>46061</v>
      </c>
      <c r="J541" t="s">
        <v>118</v>
      </c>
      <c r="K541" t="s">
        <v>117</v>
      </c>
      <c r="L541" t="s">
        <v>118</v>
      </c>
      <c r="M541">
        <v>0</v>
      </c>
      <c r="N541">
        <v>0</v>
      </c>
      <c r="O541">
        <v>5.7142857142857144</v>
      </c>
      <c r="P541">
        <v>0</v>
      </c>
    </row>
    <row r="542" spans="1:16" x14ac:dyDescent="0.45">
      <c r="A542" t="s">
        <v>56</v>
      </c>
      <c r="B542" t="s">
        <v>29</v>
      </c>
      <c r="C542" t="s">
        <v>29</v>
      </c>
      <c r="D542" t="s">
        <v>49</v>
      </c>
      <c r="E542">
        <v>20</v>
      </c>
      <c r="F542">
        <v>40</v>
      </c>
      <c r="G542" t="s">
        <v>70</v>
      </c>
      <c r="H542" t="s">
        <v>45</v>
      </c>
      <c r="I542" s="24">
        <v>46061</v>
      </c>
      <c r="J542" t="s">
        <v>118</v>
      </c>
      <c r="K542" t="s">
        <v>117</v>
      </c>
      <c r="L542" t="s">
        <v>118</v>
      </c>
      <c r="M542">
        <v>7.9999999999999982</v>
      </c>
      <c r="N542">
        <v>239.99999999999994</v>
      </c>
      <c r="O542">
        <v>5.7142857142857144</v>
      </c>
      <c r="P542">
        <v>1</v>
      </c>
    </row>
    <row r="543" spans="1:16" x14ac:dyDescent="0.45">
      <c r="A543" t="s">
        <v>57</v>
      </c>
      <c r="B543" t="s">
        <v>29</v>
      </c>
      <c r="C543" t="s">
        <v>29</v>
      </c>
      <c r="D543" t="s">
        <v>49</v>
      </c>
      <c r="E543">
        <v>20</v>
      </c>
      <c r="F543">
        <v>40</v>
      </c>
      <c r="G543" t="s">
        <v>70</v>
      </c>
      <c r="H543" t="s">
        <v>41</v>
      </c>
      <c r="I543" s="24">
        <v>46061</v>
      </c>
      <c r="J543" t="s">
        <v>118</v>
      </c>
      <c r="K543" t="s">
        <v>117</v>
      </c>
      <c r="L543" t="s">
        <v>118</v>
      </c>
      <c r="M543">
        <v>0</v>
      </c>
      <c r="N543">
        <v>0</v>
      </c>
      <c r="O543">
        <v>5.7142857142857144</v>
      </c>
      <c r="P543">
        <v>0</v>
      </c>
    </row>
    <row r="544" spans="1:16" x14ac:dyDescent="0.45">
      <c r="A544" t="s">
        <v>58</v>
      </c>
      <c r="B544" t="s">
        <v>29</v>
      </c>
      <c r="C544" t="s">
        <v>29</v>
      </c>
      <c r="D544" t="s">
        <v>49</v>
      </c>
      <c r="E544">
        <v>20</v>
      </c>
      <c r="F544">
        <v>40</v>
      </c>
      <c r="G544" t="s">
        <v>70</v>
      </c>
      <c r="H544" t="s">
        <v>44</v>
      </c>
      <c r="I544" s="24">
        <v>46061</v>
      </c>
      <c r="J544" t="s">
        <v>118</v>
      </c>
      <c r="K544" t="s">
        <v>117</v>
      </c>
      <c r="L544" t="s">
        <v>118</v>
      </c>
      <c r="M544">
        <v>8</v>
      </c>
      <c r="N544">
        <v>240</v>
      </c>
      <c r="O544">
        <v>5.7142857142857144</v>
      </c>
      <c r="P544">
        <v>1</v>
      </c>
    </row>
    <row r="545" spans="1:16" x14ac:dyDescent="0.45">
      <c r="A545" t="s">
        <v>59</v>
      </c>
      <c r="B545" t="s">
        <v>29</v>
      </c>
      <c r="C545" t="s">
        <v>29</v>
      </c>
      <c r="D545" t="s">
        <v>60</v>
      </c>
      <c r="E545">
        <v>15</v>
      </c>
      <c r="F545">
        <v>20</v>
      </c>
      <c r="G545" t="s">
        <v>70</v>
      </c>
      <c r="H545" t="s">
        <v>41</v>
      </c>
      <c r="I545" s="24">
        <v>46061</v>
      </c>
      <c r="J545" t="s">
        <v>118</v>
      </c>
      <c r="K545" t="s">
        <v>117</v>
      </c>
      <c r="L545" t="s">
        <v>118</v>
      </c>
      <c r="M545">
        <v>0</v>
      </c>
      <c r="N545">
        <v>0</v>
      </c>
      <c r="O545">
        <v>2.8571428571428572</v>
      </c>
      <c r="P545">
        <v>0</v>
      </c>
    </row>
    <row r="546" spans="1:16" x14ac:dyDescent="0.45">
      <c r="A546" t="s">
        <v>61</v>
      </c>
      <c r="B546" t="s">
        <v>29</v>
      </c>
      <c r="C546" t="s">
        <v>29</v>
      </c>
      <c r="D546" t="s">
        <v>60</v>
      </c>
      <c r="E546">
        <v>15</v>
      </c>
      <c r="F546">
        <v>20</v>
      </c>
      <c r="G546" t="s">
        <v>70</v>
      </c>
      <c r="H546" t="s">
        <v>41</v>
      </c>
      <c r="I546" s="24">
        <v>46061</v>
      </c>
      <c r="J546" t="s">
        <v>118</v>
      </c>
      <c r="K546" t="s">
        <v>117</v>
      </c>
      <c r="L546" t="s">
        <v>118</v>
      </c>
      <c r="M546">
        <v>0</v>
      </c>
      <c r="N546">
        <v>0</v>
      </c>
      <c r="O546">
        <v>2.8571428571428572</v>
      </c>
      <c r="P546">
        <v>0</v>
      </c>
    </row>
    <row r="547" spans="1:16" x14ac:dyDescent="0.45">
      <c r="A547" t="s">
        <v>62</v>
      </c>
      <c r="B547" t="s">
        <v>29</v>
      </c>
      <c r="C547" t="s">
        <v>29</v>
      </c>
      <c r="D547" t="s">
        <v>60</v>
      </c>
      <c r="E547">
        <v>15</v>
      </c>
      <c r="F547">
        <v>20</v>
      </c>
      <c r="G547" t="s">
        <v>70</v>
      </c>
      <c r="H547" t="s">
        <v>46</v>
      </c>
      <c r="I547" s="24">
        <v>46061</v>
      </c>
      <c r="J547" t="s">
        <v>118</v>
      </c>
      <c r="K547" t="s">
        <v>117</v>
      </c>
      <c r="L547" t="s">
        <v>118</v>
      </c>
      <c r="M547">
        <v>4.9999999999999982</v>
      </c>
      <c r="N547">
        <v>112.49999999999996</v>
      </c>
      <c r="O547">
        <v>2.8571428571428572</v>
      </c>
      <c r="P547">
        <v>1</v>
      </c>
    </row>
    <row r="548" spans="1:16" x14ac:dyDescent="0.45">
      <c r="A548" t="s">
        <v>48</v>
      </c>
      <c r="B548" t="s">
        <v>30</v>
      </c>
      <c r="C548" t="s">
        <v>28</v>
      </c>
      <c r="D548" t="s">
        <v>49</v>
      </c>
      <c r="E548">
        <v>30</v>
      </c>
      <c r="F548">
        <v>40</v>
      </c>
      <c r="G548" t="s">
        <v>64</v>
      </c>
      <c r="H548" t="s">
        <v>35</v>
      </c>
      <c r="I548" s="24">
        <v>46062</v>
      </c>
      <c r="J548" t="s">
        <v>117</v>
      </c>
      <c r="K548" t="s">
        <v>117</v>
      </c>
      <c r="L548" t="s">
        <v>117</v>
      </c>
      <c r="M548">
        <v>7</v>
      </c>
      <c r="N548">
        <v>210</v>
      </c>
      <c r="O548">
        <v>5.7142857142857144</v>
      </c>
      <c r="P548">
        <v>0</v>
      </c>
    </row>
    <row r="549" spans="1:16" x14ac:dyDescent="0.45">
      <c r="A549" t="s">
        <v>50</v>
      </c>
      <c r="B549" t="s">
        <v>27</v>
      </c>
      <c r="C549" t="s">
        <v>28</v>
      </c>
      <c r="D549" t="s">
        <v>49</v>
      </c>
      <c r="E549">
        <v>25</v>
      </c>
      <c r="F549">
        <v>40</v>
      </c>
      <c r="G549" t="s">
        <v>64</v>
      </c>
      <c r="H549" t="s">
        <v>37</v>
      </c>
      <c r="I549" s="24">
        <v>46062</v>
      </c>
      <c r="J549" t="s">
        <v>117</v>
      </c>
      <c r="K549" t="s">
        <v>117</v>
      </c>
      <c r="L549" t="s">
        <v>117</v>
      </c>
      <c r="M549">
        <v>7</v>
      </c>
      <c r="N549">
        <v>175</v>
      </c>
      <c r="O549">
        <v>5.7142857142857144</v>
      </c>
      <c r="P549">
        <v>0</v>
      </c>
    </row>
    <row r="550" spans="1:16" x14ac:dyDescent="0.45">
      <c r="A550" t="s">
        <v>51</v>
      </c>
      <c r="B550" t="s">
        <v>27</v>
      </c>
      <c r="C550" t="s">
        <v>28</v>
      </c>
      <c r="D550" t="s">
        <v>49</v>
      </c>
      <c r="E550">
        <v>25</v>
      </c>
      <c r="F550">
        <v>40</v>
      </c>
      <c r="G550" t="s">
        <v>64</v>
      </c>
      <c r="H550" t="s">
        <v>41</v>
      </c>
      <c r="I550" s="24">
        <v>46062</v>
      </c>
      <c r="J550" t="s">
        <v>117</v>
      </c>
      <c r="K550" t="s">
        <v>117</v>
      </c>
      <c r="L550" t="s">
        <v>117</v>
      </c>
      <c r="M550">
        <v>0</v>
      </c>
      <c r="N550">
        <v>0</v>
      </c>
      <c r="O550">
        <v>5.7142857142857144</v>
      </c>
      <c r="P550">
        <v>0</v>
      </c>
    </row>
    <row r="551" spans="1:16" x14ac:dyDescent="0.45">
      <c r="A551" t="s">
        <v>52</v>
      </c>
      <c r="B551" t="s">
        <v>26</v>
      </c>
      <c r="C551" t="s">
        <v>26</v>
      </c>
      <c r="D551" t="s">
        <v>49</v>
      </c>
      <c r="E551">
        <v>35</v>
      </c>
      <c r="F551">
        <v>40</v>
      </c>
      <c r="G551" t="s">
        <v>64</v>
      </c>
      <c r="H551" t="s">
        <v>42</v>
      </c>
      <c r="I551" s="24">
        <v>46062</v>
      </c>
      <c r="J551" t="s">
        <v>117</v>
      </c>
      <c r="K551" t="s">
        <v>117</v>
      </c>
      <c r="L551" t="s">
        <v>117</v>
      </c>
      <c r="M551">
        <v>7.9999999999999982</v>
      </c>
      <c r="N551">
        <v>279.99999999999994</v>
      </c>
      <c r="O551">
        <v>5.7142857142857144</v>
      </c>
      <c r="P551">
        <v>0</v>
      </c>
    </row>
    <row r="552" spans="1:16" x14ac:dyDescent="0.45">
      <c r="A552" t="s">
        <v>53</v>
      </c>
      <c r="B552" t="s">
        <v>26</v>
      </c>
      <c r="C552" t="s">
        <v>26</v>
      </c>
      <c r="D552" t="s">
        <v>49</v>
      </c>
      <c r="E552">
        <v>35</v>
      </c>
      <c r="F552">
        <v>40</v>
      </c>
      <c r="G552" t="s">
        <v>64</v>
      </c>
      <c r="H552" t="s">
        <v>44</v>
      </c>
      <c r="I552" s="24">
        <v>46062</v>
      </c>
      <c r="J552" t="s">
        <v>117</v>
      </c>
      <c r="K552" t="s">
        <v>117</v>
      </c>
      <c r="L552" t="s">
        <v>117</v>
      </c>
      <c r="M552">
        <v>8</v>
      </c>
      <c r="N552">
        <v>280</v>
      </c>
      <c r="O552">
        <v>5.7142857142857144</v>
      </c>
      <c r="P552">
        <v>0</v>
      </c>
    </row>
    <row r="553" spans="1:16" x14ac:dyDescent="0.45">
      <c r="A553" t="s">
        <v>54</v>
      </c>
      <c r="B553" t="s">
        <v>25</v>
      </c>
      <c r="C553" t="s">
        <v>26</v>
      </c>
      <c r="D553" t="s">
        <v>49</v>
      </c>
      <c r="E553">
        <v>28</v>
      </c>
      <c r="F553">
        <v>40</v>
      </c>
      <c r="G553" t="s">
        <v>64</v>
      </c>
      <c r="H553" t="s">
        <v>41</v>
      </c>
      <c r="I553" s="24">
        <v>46062</v>
      </c>
      <c r="J553" t="s">
        <v>117</v>
      </c>
      <c r="K553" t="s">
        <v>117</v>
      </c>
      <c r="L553" t="s">
        <v>117</v>
      </c>
      <c r="M553">
        <v>0</v>
      </c>
      <c r="N553">
        <v>0</v>
      </c>
      <c r="O553">
        <v>5.7142857142857144</v>
      </c>
      <c r="P553">
        <v>0</v>
      </c>
    </row>
    <row r="554" spans="1:16" x14ac:dyDescent="0.45">
      <c r="A554" t="s">
        <v>55</v>
      </c>
      <c r="B554" t="s">
        <v>25</v>
      </c>
      <c r="C554" t="s">
        <v>26</v>
      </c>
      <c r="D554" t="s">
        <v>49</v>
      </c>
      <c r="E554">
        <v>28</v>
      </c>
      <c r="F554">
        <v>40</v>
      </c>
      <c r="G554" t="s">
        <v>64</v>
      </c>
      <c r="H554" t="s">
        <v>44</v>
      </c>
      <c r="I554" s="24">
        <v>46062</v>
      </c>
      <c r="J554" t="s">
        <v>117</v>
      </c>
      <c r="K554" t="s">
        <v>117</v>
      </c>
      <c r="L554" t="s">
        <v>117</v>
      </c>
      <c r="M554">
        <v>8</v>
      </c>
      <c r="N554">
        <v>224</v>
      </c>
      <c r="O554">
        <v>5.7142857142857144</v>
      </c>
      <c r="P554">
        <v>0</v>
      </c>
    </row>
    <row r="555" spans="1:16" x14ac:dyDescent="0.45">
      <c r="A555" t="s">
        <v>56</v>
      </c>
      <c r="B555" t="s">
        <v>29</v>
      </c>
      <c r="C555" t="s">
        <v>29</v>
      </c>
      <c r="D555" t="s">
        <v>49</v>
      </c>
      <c r="E555">
        <v>20</v>
      </c>
      <c r="F555">
        <v>40</v>
      </c>
      <c r="G555" t="s">
        <v>64</v>
      </c>
      <c r="H555" t="s">
        <v>45</v>
      </c>
      <c r="I555" s="24">
        <v>46062</v>
      </c>
      <c r="J555" t="s">
        <v>117</v>
      </c>
      <c r="K555" t="s">
        <v>117</v>
      </c>
      <c r="L555" t="s">
        <v>117</v>
      </c>
      <c r="M555">
        <v>7.9999999999999982</v>
      </c>
      <c r="N555">
        <v>159.99999999999997</v>
      </c>
      <c r="O555">
        <v>5.7142857142857144</v>
      </c>
      <c r="P555">
        <v>0</v>
      </c>
    </row>
    <row r="556" spans="1:16" x14ac:dyDescent="0.45">
      <c r="A556" t="s">
        <v>57</v>
      </c>
      <c r="B556" t="s">
        <v>29</v>
      </c>
      <c r="C556" t="s">
        <v>29</v>
      </c>
      <c r="D556" t="s">
        <v>49</v>
      </c>
      <c r="E556">
        <v>20</v>
      </c>
      <c r="F556">
        <v>40</v>
      </c>
      <c r="G556" t="s">
        <v>64</v>
      </c>
      <c r="H556" t="s">
        <v>44</v>
      </c>
      <c r="I556" s="24">
        <v>46062</v>
      </c>
      <c r="J556" t="s">
        <v>117</v>
      </c>
      <c r="K556" t="s">
        <v>117</v>
      </c>
      <c r="L556" t="s">
        <v>117</v>
      </c>
      <c r="M556">
        <v>8</v>
      </c>
      <c r="N556">
        <v>160</v>
      </c>
      <c r="O556">
        <v>5.7142857142857144</v>
      </c>
      <c r="P556">
        <v>0</v>
      </c>
    </row>
    <row r="557" spans="1:16" x14ac:dyDescent="0.45">
      <c r="A557" t="s">
        <v>58</v>
      </c>
      <c r="B557" t="s">
        <v>29</v>
      </c>
      <c r="C557" t="s">
        <v>29</v>
      </c>
      <c r="D557" t="s">
        <v>49</v>
      </c>
      <c r="E557">
        <v>20</v>
      </c>
      <c r="F557">
        <v>40</v>
      </c>
      <c r="G557" t="s">
        <v>64</v>
      </c>
      <c r="H557" t="s">
        <v>41</v>
      </c>
      <c r="I557" s="24">
        <v>46062</v>
      </c>
      <c r="J557" t="s">
        <v>117</v>
      </c>
      <c r="K557" t="s">
        <v>117</v>
      </c>
      <c r="L557" t="s">
        <v>117</v>
      </c>
      <c r="M557">
        <v>0</v>
      </c>
      <c r="N557">
        <v>0</v>
      </c>
      <c r="O557">
        <v>5.7142857142857144</v>
      </c>
      <c r="P557">
        <v>0</v>
      </c>
    </row>
    <row r="558" spans="1:16" x14ac:dyDescent="0.45">
      <c r="A558" t="s">
        <v>59</v>
      </c>
      <c r="B558" t="s">
        <v>29</v>
      </c>
      <c r="C558" t="s">
        <v>29</v>
      </c>
      <c r="D558" t="s">
        <v>60</v>
      </c>
      <c r="E558">
        <v>15</v>
      </c>
      <c r="F558">
        <v>20</v>
      </c>
      <c r="G558" t="s">
        <v>64</v>
      </c>
      <c r="H558" t="s">
        <v>41</v>
      </c>
      <c r="I558" s="24">
        <v>46062</v>
      </c>
      <c r="J558" t="s">
        <v>117</v>
      </c>
      <c r="K558" t="s">
        <v>117</v>
      </c>
      <c r="L558" t="s">
        <v>117</v>
      </c>
      <c r="M558">
        <v>0</v>
      </c>
      <c r="N558">
        <v>0</v>
      </c>
      <c r="O558">
        <v>2.8571428571428572</v>
      </c>
      <c r="P558">
        <v>0</v>
      </c>
    </row>
    <row r="559" spans="1:16" x14ac:dyDescent="0.45">
      <c r="A559" t="s">
        <v>61</v>
      </c>
      <c r="B559" t="s">
        <v>29</v>
      </c>
      <c r="C559" t="s">
        <v>29</v>
      </c>
      <c r="D559" t="s">
        <v>60</v>
      </c>
      <c r="E559">
        <v>15</v>
      </c>
      <c r="F559">
        <v>20</v>
      </c>
      <c r="G559" t="s">
        <v>64</v>
      </c>
      <c r="H559" t="s">
        <v>46</v>
      </c>
      <c r="I559" s="24">
        <v>46062</v>
      </c>
      <c r="J559" t="s">
        <v>117</v>
      </c>
      <c r="K559" t="s">
        <v>117</v>
      </c>
      <c r="L559" t="s">
        <v>117</v>
      </c>
      <c r="M559">
        <v>4.9999999999999982</v>
      </c>
      <c r="N559">
        <v>74.999999999999972</v>
      </c>
      <c r="O559">
        <v>2.8571428571428572</v>
      </c>
      <c r="P559">
        <v>0</v>
      </c>
    </row>
    <row r="560" spans="1:16" x14ac:dyDescent="0.45">
      <c r="A560" t="s">
        <v>62</v>
      </c>
      <c r="B560" t="s">
        <v>29</v>
      </c>
      <c r="C560" t="s">
        <v>29</v>
      </c>
      <c r="D560" t="s">
        <v>60</v>
      </c>
      <c r="E560">
        <v>15</v>
      </c>
      <c r="F560">
        <v>20</v>
      </c>
      <c r="G560" t="s">
        <v>64</v>
      </c>
      <c r="H560" t="s">
        <v>40</v>
      </c>
      <c r="I560" s="24">
        <v>46062</v>
      </c>
      <c r="J560" t="s">
        <v>117</v>
      </c>
      <c r="K560" t="s">
        <v>117</v>
      </c>
      <c r="L560" t="s">
        <v>117</v>
      </c>
      <c r="M560">
        <v>5</v>
      </c>
      <c r="N560">
        <v>75</v>
      </c>
      <c r="O560">
        <v>2.8571428571428572</v>
      </c>
      <c r="P560">
        <v>0</v>
      </c>
    </row>
    <row r="561" spans="1:16" x14ac:dyDescent="0.45">
      <c r="A561" t="s">
        <v>48</v>
      </c>
      <c r="B561" t="s">
        <v>30</v>
      </c>
      <c r="C561" t="s">
        <v>28</v>
      </c>
      <c r="D561" t="s">
        <v>49</v>
      </c>
      <c r="E561">
        <v>30</v>
      </c>
      <c r="F561">
        <v>40</v>
      </c>
      <c r="G561" t="s">
        <v>65</v>
      </c>
      <c r="H561" t="s">
        <v>35</v>
      </c>
      <c r="I561" s="24">
        <v>46063</v>
      </c>
      <c r="J561" t="s">
        <v>117</v>
      </c>
      <c r="K561" t="s">
        <v>117</v>
      </c>
      <c r="L561" t="s">
        <v>117</v>
      </c>
      <c r="M561">
        <v>7</v>
      </c>
      <c r="N561">
        <v>210</v>
      </c>
      <c r="O561">
        <v>5.7142857142857144</v>
      </c>
      <c r="P561">
        <v>0</v>
      </c>
    </row>
    <row r="562" spans="1:16" x14ac:dyDescent="0.45">
      <c r="A562" t="s">
        <v>50</v>
      </c>
      <c r="B562" t="s">
        <v>27</v>
      </c>
      <c r="C562" t="s">
        <v>28</v>
      </c>
      <c r="D562" t="s">
        <v>49</v>
      </c>
      <c r="E562">
        <v>25</v>
      </c>
      <c r="F562">
        <v>40</v>
      </c>
      <c r="G562" t="s">
        <v>65</v>
      </c>
      <c r="H562" t="s">
        <v>37</v>
      </c>
      <c r="I562" s="24">
        <v>46063</v>
      </c>
      <c r="J562" t="s">
        <v>117</v>
      </c>
      <c r="K562" t="s">
        <v>117</v>
      </c>
      <c r="L562" t="s">
        <v>117</v>
      </c>
      <c r="M562">
        <v>7</v>
      </c>
      <c r="N562">
        <v>175</v>
      </c>
      <c r="O562">
        <v>5.7142857142857144</v>
      </c>
      <c r="P562">
        <v>0</v>
      </c>
    </row>
    <row r="563" spans="1:16" x14ac:dyDescent="0.45">
      <c r="A563" t="s">
        <v>51</v>
      </c>
      <c r="B563" t="s">
        <v>27</v>
      </c>
      <c r="C563" t="s">
        <v>28</v>
      </c>
      <c r="D563" t="s">
        <v>49</v>
      </c>
      <c r="E563">
        <v>25</v>
      </c>
      <c r="F563">
        <v>40</v>
      </c>
      <c r="G563" t="s">
        <v>65</v>
      </c>
      <c r="H563" t="s">
        <v>41</v>
      </c>
      <c r="I563" s="24">
        <v>46063</v>
      </c>
      <c r="J563" t="s">
        <v>117</v>
      </c>
      <c r="K563" t="s">
        <v>117</v>
      </c>
      <c r="L563" t="s">
        <v>117</v>
      </c>
      <c r="M563">
        <v>0</v>
      </c>
      <c r="N563">
        <v>0</v>
      </c>
      <c r="O563">
        <v>5.7142857142857144</v>
      </c>
      <c r="P563">
        <v>0</v>
      </c>
    </row>
    <row r="564" spans="1:16" x14ac:dyDescent="0.45">
      <c r="A564" t="s">
        <v>52</v>
      </c>
      <c r="B564" t="s">
        <v>26</v>
      </c>
      <c r="C564" t="s">
        <v>26</v>
      </c>
      <c r="D564" t="s">
        <v>49</v>
      </c>
      <c r="E564">
        <v>35</v>
      </c>
      <c r="F564">
        <v>40</v>
      </c>
      <c r="G564" t="s">
        <v>65</v>
      </c>
      <c r="H564" t="s">
        <v>42</v>
      </c>
      <c r="I564" s="24">
        <v>46063</v>
      </c>
      <c r="J564" t="s">
        <v>117</v>
      </c>
      <c r="K564" t="s">
        <v>117</v>
      </c>
      <c r="L564" t="s">
        <v>117</v>
      </c>
      <c r="M564">
        <v>7.9999999999999982</v>
      </c>
      <c r="N564">
        <v>279.99999999999994</v>
      </c>
      <c r="O564">
        <v>5.7142857142857144</v>
      </c>
      <c r="P564">
        <v>0</v>
      </c>
    </row>
    <row r="565" spans="1:16" x14ac:dyDescent="0.45">
      <c r="A565" t="s">
        <v>53</v>
      </c>
      <c r="B565" t="s">
        <v>26</v>
      </c>
      <c r="C565" t="s">
        <v>26</v>
      </c>
      <c r="D565" t="s">
        <v>49</v>
      </c>
      <c r="E565">
        <v>35</v>
      </c>
      <c r="F565">
        <v>40</v>
      </c>
      <c r="G565" t="s">
        <v>65</v>
      </c>
      <c r="H565" t="s">
        <v>44</v>
      </c>
      <c r="I565" s="24">
        <v>46063</v>
      </c>
      <c r="J565" t="s">
        <v>117</v>
      </c>
      <c r="K565" t="s">
        <v>117</v>
      </c>
      <c r="L565" t="s">
        <v>117</v>
      </c>
      <c r="M565">
        <v>8</v>
      </c>
      <c r="N565">
        <v>280</v>
      </c>
      <c r="O565">
        <v>5.7142857142857144</v>
      </c>
      <c r="P565">
        <v>0</v>
      </c>
    </row>
    <row r="566" spans="1:16" x14ac:dyDescent="0.45">
      <c r="A566" t="s">
        <v>54</v>
      </c>
      <c r="B566" t="s">
        <v>25</v>
      </c>
      <c r="C566" t="s">
        <v>26</v>
      </c>
      <c r="D566" t="s">
        <v>49</v>
      </c>
      <c r="E566">
        <v>28</v>
      </c>
      <c r="F566">
        <v>40</v>
      </c>
      <c r="G566" t="s">
        <v>65</v>
      </c>
      <c r="H566" t="s">
        <v>41</v>
      </c>
      <c r="I566" s="24">
        <v>46063</v>
      </c>
      <c r="J566" t="s">
        <v>117</v>
      </c>
      <c r="K566" t="s">
        <v>117</v>
      </c>
      <c r="L566" t="s">
        <v>117</v>
      </c>
      <c r="M566">
        <v>0</v>
      </c>
      <c r="N566">
        <v>0</v>
      </c>
      <c r="O566">
        <v>5.7142857142857144</v>
      </c>
      <c r="P566">
        <v>0</v>
      </c>
    </row>
    <row r="567" spans="1:16" x14ac:dyDescent="0.45">
      <c r="A567" t="s">
        <v>55</v>
      </c>
      <c r="B567" t="s">
        <v>25</v>
      </c>
      <c r="C567" t="s">
        <v>26</v>
      </c>
      <c r="D567" t="s">
        <v>49</v>
      </c>
      <c r="E567">
        <v>28</v>
      </c>
      <c r="F567">
        <v>40</v>
      </c>
      <c r="G567" t="s">
        <v>65</v>
      </c>
      <c r="H567" t="s">
        <v>44</v>
      </c>
      <c r="I567" s="24">
        <v>46063</v>
      </c>
      <c r="J567" t="s">
        <v>117</v>
      </c>
      <c r="K567" t="s">
        <v>117</v>
      </c>
      <c r="L567" t="s">
        <v>117</v>
      </c>
      <c r="M567">
        <v>8</v>
      </c>
      <c r="N567">
        <v>224</v>
      </c>
      <c r="O567">
        <v>5.7142857142857144</v>
      </c>
      <c r="P567">
        <v>0</v>
      </c>
    </row>
    <row r="568" spans="1:16" x14ac:dyDescent="0.45">
      <c r="A568" t="s">
        <v>56</v>
      </c>
      <c r="B568" t="s">
        <v>29</v>
      </c>
      <c r="C568" t="s">
        <v>29</v>
      </c>
      <c r="D568" t="s">
        <v>49</v>
      </c>
      <c r="E568">
        <v>20</v>
      </c>
      <c r="F568">
        <v>40</v>
      </c>
      <c r="G568" t="s">
        <v>65</v>
      </c>
      <c r="H568" t="s">
        <v>45</v>
      </c>
      <c r="I568" s="24">
        <v>46063</v>
      </c>
      <c r="J568" t="s">
        <v>117</v>
      </c>
      <c r="K568" t="s">
        <v>117</v>
      </c>
      <c r="L568" t="s">
        <v>117</v>
      </c>
      <c r="M568">
        <v>7.9999999999999982</v>
      </c>
      <c r="N568">
        <v>159.99999999999997</v>
      </c>
      <c r="O568">
        <v>5.7142857142857144</v>
      </c>
      <c r="P568">
        <v>0</v>
      </c>
    </row>
    <row r="569" spans="1:16" x14ac:dyDescent="0.45">
      <c r="A569" t="s">
        <v>57</v>
      </c>
      <c r="B569" t="s">
        <v>29</v>
      </c>
      <c r="C569" t="s">
        <v>29</v>
      </c>
      <c r="D569" t="s">
        <v>49</v>
      </c>
      <c r="E569">
        <v>20</v>
      </c>
      <c r="F569">
        <v>40</v>
      </c>
      <c r="G569" t="s">
        <v>65</v>
      </c>
      <c r="H569" t="s">
        <v>44</v>
      </c>
      <c r="I569" s="24">
        <v>46063</v>
      </c>
      <c r="J569" t="s">
        <v>117</v>
      </c>
      <c r="K569" t="s">
        <v>117</v>
      </c>
      <c r="L569" t="s">
        <v>117</v>
      </c>
      <c r="M569">
        <v>8</v>
      </c>
      <c r="N569">
        <v>160</v>
      </c>
      <c r="O569">
        <v>5.7142857142857144</v>
      </c>
      <c r="P569">
        <v>0</v>
      </c>
    </row>
    <row r="570" spans="1:16" x14ac:dyDescent="0.45">
      <c r="A570" t="s">
        <v>58</v>
      </c>
      <c r="B570" t="s">
        <v>29</v>
      </c>
      <c r="C570" t="s">
        <v>29</v>
      </c>
      <c r="D570" t="s">
        <v>49</v>
      </c>
      <c r="E570">
        <v>20</v>
      </c>
      <c r="F570">
        <v>40</v>
      </c>
      <c r="G570" t="s">
        <v>65</v>
      </c>
      <c r="H570" t="s">
        <v>41</v>
      </c>
      <c r="I570" s="24">
        <v>46063</v>
      </c>
      <c r="J570" t="s">
        <v>117</v>
      </c>
      <c r="K570" t="s">
        <v>117</v>
      </c>
      <c r="L570" t="s">
        <v>117</v>
      </c>
      <c r="M570">
        <v>0</v>
      </c>
      <c r="N570">
        <v>0</v>
      </c>
      <c r="O570">
        <v>5.7142857142857144</v>
      </c>
      <c r="P570">
        <v>0</v>
      </c>
    </row>
    <row r="571" spans="1:16" x14ac:dyDescent="0.45">
      <c r="A571" t="s">
        <v>59</v>
      </c>
      <c r="B571" t="s">
        <v>29</v>
      </c>
      <c r="C571" t="s">
        <v>29</v>
      </c>
      <c r="D571" t="s">
        <v>60</v>
      </c>
      <c r="E571">
        <v>15</v>
      </c>
      <c r="F571">
        <v>20</v>
      </c>
      <c r="G571" t="s">
        <v>65</v>
      </c>
      <c r="H571" t="s">
        <v>46</v>
      </c>
      <c r="I571" s="24">
        <v>46063</v>
      </c>
      <c r="J571" t="s">
        <v>117</v>
      </c>
      <c r="K571" t="s">
        <v>117</v>
      </c>
      <c r="L571" t="s">
        <v>117</v>
      </c>
      <c r="M571">
        <v>4.9999999999999982</v>
      </c>
      <c r="N571">
        <v>74.999999999999972</v>
      </c>
      <c r="O571">
        <v>2.8571428571428572</v>
      </c>
      <c r="P571">
        <v>0</v>
      </c>
    </row>
    <row r="572" spans="1:16" x14ac:dyDescent="0.45">
      <c r="A572" t="s">
        <v>61</v>
      </c>
      <c r="B572" t="s">
        <v>29</v>
      </c>
      <c r="C572" t="s">
        <v>29</v>
      </c>
      <c r="D572" t="s">
        <v>60</v>
      </c>
      <c r="E572">
        <v>15</v>
      </c>
      <c r="F572">
        <v>20</v>
      </c>
      <c r="G572" t="s">
        <v>65</v>
      </c>
      <c r="H572" t="s">
        <v>40</v>
      </c>
      <c r="I572" s="24">
        <v>46063</v>
      </c>
      <c r="J572" t="s">
        <v>117</v>
      </c>
      <c r="K572" t="s">
        <v>117</v>
      </c>
      <c r="L572" t="s">
        <v>117</v>
      </c>
      <c r="M572">
        <v>5</v>
      </c>
      <c r="N572">
        <v>75</v>
      </c>
      <c r="O572">
        <v>2.8571428571428572</v>
      </c>
      <c r="P572">
        <v>0</v>
      </c>
    </row>
    <row r="573" spans="1:16" x14ac:dyDescent="0.45">
      <c r="A573" t="s">
        <v>62</v>
      </c>
      <c r="B573" t="s">
        <v>29</v>
      </c>
      <c r="C573" t="s">
        <v>29</v>
      </c>
      <c r="D573" t="s">
        <v>60</v>
      </c>
      <c r="E573">
        <v>15</v>
      </c>
      <c r="F573">
        <v>20</v>
      </c>
      <c r="G573" t="s">
        <v>65</v>
      </c>
      <c r="H573" t="s">
        <v>40</v>
      </c>
      <c r="I573" s="24">
        <v>46063</v>
      </c>
      <c r="J573" t="s">
        <v>117</v>
      </c>
      <c r="K573" t="s">
        <v>117</v>
      </c>
      <c r="L573" t="s">
        <v>117</v>
      </c>
      <c r="M573">
        <v>5</v>
      </c>
      <c r="N573">
        <v>75</v>
      </c>
      <c r="O573">
        <v>2.8571428571428572</v>
      </c>
      <c r="P573">
        <v>0</v>
      </c>
    </row>
    <row r="574" spans="1:16" x14ac:dyDescent="0.45">
      <c r="A574" t="s">
        <v>48</v>
      </c>
      <c r="B574" t="s">
        <v>30</v>
      </c>
      <c r="C574" t="s">
        <v>28</v>
      </c>
      <c r="D574" t="s">
        <v>49</v>
      </c>
      <c r="E574">
        <v>30</v>
      </c>
      <c r="F574">
        <v>40</v>
      </c>
      <c r="G574" t="s">
        <v>66</v>
      </c>
      <c r="H574" t="s">
        <v>40</v>
      </c>
      <c r="I574" s="24">
        <v>46064</v>
      </c>
      <c r="J574" t="s">
        <v>117</v>
      </c>
      <c r="K574" t="s">
        <v>117</v>
      </c>
      <c r="L574" t="s">
        <v>117</v>
      </c>
      <c r="M574">
        <v>5</v>
      </c>
      <c r="N574">
        <v>150</v>
      </c>
      <c r="O574">
        <v>5.7142857142857144</v>
      </c>
      <c r="P574">
        <v>0</v>
      </c>
    </row>
    <row r="575" spans="1:16" x14ac:dyDescent="0.45">
      <c r="A575" t="s">
        <v>50</v>
      </c>
      <c r="B575" t="s">
        <v>27</v>
      </c>
      <c r="C575" t="s">
        <v>28</v>
      </c>
      <c r="D575" t="s">
        <v>49</v>
      </c>
      <c r="E575">
        <v>25</v>
      </c>
      <c r="F575">
        <v>40</v>
      </c>
      <c r="G575" t="s">
        <v>66</v>
      </c>
      <c r="H575" t="s">
        <v>41</v>
      </c>
      <c r="I575" s="24">
        <v>46064</v>
      </c>
      <c r="J575" t="s">
        <v>117</v>
      </c>
      <c r="K575" t="s">
        <v>117</v>
      </c>
      <c r="L575" t="s">
        <v>117</v>
      </c>
      <c r="M575">
        <v>0</v>
      </c>
      <c r="N575">
        <v>0</v>
      </c>
      <c r="O575">
        <v>5.7142857142857144</v>
      </c>
      <c r="P575">
        <v>0</v>
      </c>
    </row>
    <row r="576" spans="1:16" x14ac:dyDescent="0.45">
      <c r="A576" t="s">
        <v>51</v>
      </c>
      <c r="B576" t="s">
        <v>27</v>
      </c>
      <c r="C576" t="s">
        <v>28</v>
      </c>
      <c r="D576" t="s">
        <v>49</v>
      </c>
      <c r="E576">
        <v>25</v>
      </c>
      <c r="F576">
        <v>40</v>
      </c>
      <c r="G576" t="s">
        <v>66</v>
      </c>
      <c r="H576" t="s">
        <v>35</v>
      </c>
      <c r="I576" s="24">
        <v>46064</v>
      </c>
      <c r="J576" t="s">
        <v>117</v>
      </c>
      <c r="K576" t="s">
        <v>117</v>
      </c>
      <c r="L576" t="s">
        <v>117</v>
      </c>
      <c r="M576">
        <v>7</v>
      </c>
      <c r="N576">
        <v>175</v>
      </c>
      <c r="O576">
        <v>5.7142857142857144</v>
      </c>
      <c r="P576">
        <v>0</v>
      </c>
    </row>
    <row r="577" spans="1:16" x14ac:dyDescent="0.45">
      <c r="A577" t="s">
        <v>52</v>
      </c>
      <c r="B577" t="s">
        <v>26</v>
      </c>
      <c r="C577" t="s">
        <v>26</v>
      </c>
      <c r="D577" t="s">
        <v>49</v>
      </c>
      <c r="E577">
        <v>35</v>
      </c>
      <c r="F577">
        <v>40</v>
      </c>
      <c r="G577" t="s">
        <v>66</v>
      </c>
      <c r="H577" t="s">
        <v>41</v>
      </c>
      <c r="I577" s="24">
        <v>46064</v>
      </c>
      <c r="J577" t="s">
        <v>117</v>
      </c>
      <c r="K577" t="s">
        <v>117</v>
      </c>
      <c r="L577" t="s">
        <v>117</v>
      </c>
      <c r="M577">
        <v>0</v>
      </c>
      <c r="N577">
        <v>0</v>
      </c>
      <c r="O577">
        <v>5.7142857142857144</v>
      </c>
      <c r="P577">
        <v>0</v>
      </c>
    </row>
    <row r="578" spans="1:16" x14ac:dyDescent="0.45">
      <c r="A578" t="s">
        <v>53</v>
      </c>
      <c r="B578" t="s">
        <v>26</v>
      </c>
      <c r="C578" t="s">
        <v>26</v>
      </c>
      <c r="D578" t="s">
        <v>49</v>
      </c>
      <c r="E578">
        <v>35</v>
      </c>
      <c r="F578">
        <v>40</v>
      </c>
      <c r="G578" t="s">
        <v>66</v>
      </c>
      <c r="H578" t="s">
        <v>42</v>
      </c>
      <c r="I578" s="24">
        <v>46064</v>
      </c>
      <c r="J578" t="s">
        <v>117</v>
      </c>
      <c r="K578" t="s">
        <v>117</v>
      </c>
      <c r="L578" t="s">
        <v>117</v>
      </c>
      <c r="M578">
        <v>7.9999999999999982</v>
      </c>
      <c r="N578">
        <v>279.99999999999994</v>
      </c>
      <c r="O578">
        <v>5.7142857142857144</v>
      </c>
      <c r="P578">
        <v>0</v>
      </c>
    </row>
    <row r="579" spans="1:16" x14ac:dyDescent="0.45">
      <c r="A579" t="s">
        <v>54</v>
      </c>
      <c r="B579" t="s">
        <v>25</v>
      </c>
      <c r="C579" t="s">
        <v>26</v>
      </c>
      <c r="D579" t="s">
        <v>49</v>
      </c>
      <c r="E579">
        <v>28</v>
      </c>
      <c r="F579">
        <v>40</v>
      </c>
      <c r="G579" t="s">
        <v>66</v>
      </c>
      <c r="H579" t="s">
        <v>42</v>
      </c>
      <c r="I579" s="24">
        <v>46064</v>
      </c>
      <c r="J579" t="s">
        <v>117</v>
      </c>
      <c r="K579" t="s">
        <v>117</v>
      </c>
      <c r="L579" t="s">
        <v>117</v>
      </c>
      <c r="M579">
        <v>7.9999999999999982</v>
      </c>
      <c r="N579">
        <v>223.99999999999994</v>
      </c>
      <c r="O579">
        <v>5.7142857142857144</v>
      </c>
      <c r="P579">
        <v>0</v>
      </c>
    </row>
    <row r="580" spans="1:16" x14ac:dyDescent="0.45">
      <c r="A580" t="s">
        <v>55</v>
      </c>
      <c r="B580" t="s">
        <v>25</v>
      </c>
      <c r="C580" t="s">
        <v>26</v>
      </c>
      <c r="D580" t="s">
        <v>49</v>
      </c>
      <c r="E580">
        <v>28</v>
      </c>
      <c r="F580">
        <v>40</v>
      </c>
      <c r="G580" t="s">
        <v>66</v>
      </c>
      <c r="H580" t="s">
        <v>44</v>
      </c>
      <c r="I580" s="24">
        <v>46064</v>
      </c>
      <c r="J580" t="s">
        <v>117</v>
      </c>
      <c r="K580" t="s">
        <v>117</v>
      </c>
      <c r="L580" t="s">
        <v>117</v>
      </c>
      <c r="M580">
        <v>8</v>
      </c>
      <c r="N580">
        <v>224</v>
      </c>
      <c r="O580">
        <v>5.7142857142857144</v>
      </c>
      <c r="P580">
        <v>0</v>
      </c>
    </row>
    <row r="581" spans="1:16" x14ac:dyDescent="0.45">
      <c r="A581" t="s">
        <v>56</v>
      </c>
      <c r="B581" t="s">
        <v>29</v>
      </c>
      <c r="C581" t="s">
        <v>29</v>
      </c>
      <c r="D581" t="s">
        <v>49</v>
      </c>
      <c r="E581">
        <v>20</v>
      </c>
      <c r="F581">
        <v>40</v>
      </c>
      <c r="G581" t="s">
        <v>66</v>
      </c>
      <c r="H581" t="s">
        <v>45</v>
      </c>
      <c r="I581" s="24">
        <v>46064</v>
      </c>
      <c r="J581" t="s">
        <v>117</v>
      </c>
      <c r="K581" t="s">
        <v>117</v>
      </c>
      <c r="L581" t="s">
        <v>117</v>
      </c>
      <c r="M581">
        <v>7.9999999999999982</v>
      </c>
      <c r="N581">
        <v>159.99999999999997</v>
      </c>
      <c r="O581">
        <v>5.7142857142857144</v>
      </c>
      <c r="P581">
        <v>0</v>
      </c>
    </row>
    <row r="582" spans="1:16" x14ac:dyDescent="0.45">
      <c r="A582" t="s">
        <v>57</v>
      </c>
      <c r="B582" t="s">
        <v>29</v>
      </c>
      <c r="C582" t="s">
        <v>29</v>
      </c>
      <c r="D582" t="s">
        <v>49</v>
      </c>
      <c r="E582">
        <v>20</v>
      </c>
      <c r="F582">
        <v>40</v>
      </c>
      <c r="G582" t="s">
        <v>66</v>
      </c>
      <c r="H582" t="s">
        <v>44</v>
      </c>
      <c r="I582" s="24">
        <v>46064</v>
      </c>
      <c r="J582" t="s">
        <v>117</v>
      </c>
      <c r="K582" t="s">
        <v>117</v>
      </c>
      <c r="L582" t="s">
        <v>117</v>
      </c>
      <c r="M582">
        <v>8</v>
      </c>
      <c r="N582">
        <v>160</v>
      </c>
      <c r="O582">
        <v>5.7142857142857144</v>
      </c>
      <c r="P582">
        <v>0</v>
      </c>
    </row>
    <row r="583" spans="1:16" x14ac:dyDescent="0.45">
      <c r="A583" t="s">
        <v>58</v>
      </c>
      <c r="B583" t="s">
        <v>29</v>
      </c>
      <c r="C583" t="s">
        <v>29</v>
      </c>
      <c r="D583" t="s">
        <v>49</v>
      </c>
      <c r="E583">
        <v>20</v>
      </c>
      <c r="F583">
        <v>40</v>
      </c>
      <c r="G583" t="s">
        <v>66</v>
      </c>
      <c r="H583" t="s">
        <v>41</v>
      </c>
      <c r="I583" s="24">
        <v>46064</v>
      </c>
      <c r="J583" t="s">
        <v>117</v>
      </c>
      <c r="K583" t="s">
        <v>117</v>
      </c>
      <c r="L583" t="s">
        <v>117</v>
      </c>
      <c r="M583">
        <v>0</v>
      </c>
      <c r="N583">
        <v>0</v>
      </c>
      <c r="O583">
        <v>5.7142857142857144</v>
      </c>
      <c r="P583">
        <v>0</v>
      </c>
    </row>
    <row r="584" spans="1:16" x14ac:dyDescent="0.45">
      <c r="A584" t="s">
        <v>59</v>
      </c>
      <c r="B584" t="s">
        <v>29</v>
      </c>
      <c r="C584" t="s">
        <v>29</v>
      </c>
      <c r="D584" t="s">
        <v>60</v>
      </c>
      <c r="E584">
        <v>15</v>
      </c>
      <c r="F584">
        <v>20</v>
      </c>
      <c r="G584" t="s">
        <v>66</v>
      </c>
      <c r="H584" t="s">
        <v>46</v>
      </c>
      <c r="I584" s="24">
        <v>46064</v>
      </c>
      <c r="J584" t="s">
        <v>117</v>
      </c>
      <c r="K584" t="s">
        <v>117</v>
      </c>
      <c r="L584" t="s">
        <v>117</v>
      </c>
      <c r="M584">
        <v>4.9999999999999982</v>
      </c>
      <c r="N584">
        <v>74.999999999999972</v>
      </c>
      <c r="O584">
        <v>2.8571428571428572</v>
      </c>
      <c r="P584">
        <v>0</v>
      </c>
    </row>
    <row r="585" spans="1:16" x14ac:dyDescent="0.45">
      <c r="A585" t="s">
        <v>61</v>
      </c>
      <c r="B585" t="s">
        <v>29</v>
      </c>
      <c r="C585" t="s">
        <v>29</v>
      </c>
      <c r="D585" t="s">
        <v>60</v>
      </c>
      <c r="E585">
        <v>15</v>
      </c>
      <c r="F585">
        <v>20</v>
      </c>
      <c r="G585" t="s">
        <v>66</v>
      </c>
      <c r="H585" t="s">
        <v>39</v>
      </c>
      <c r="I585" s="24">
        <v>46064</v>
      </c>
      <c r="J585" t="s">
        <v>117</v>
      </c>
      <c r="K585" t="s">
        <v>117</v>
      </c>
      <c r="L585" t="s">
        <v>117</v>
      </c>
      <c r="M585">
        <v>4.9999999999999982</v>
      </c>
      <c r="N585">
        <v>74.999999999999972</v>
      </c>
      <c r="O585">
        <v>2.8571428571428572</v>
      </c>
      <c r="P585">
        <v>0</v>
      </c>
    </row>
    <row r="586" spans="1:16" x14ac:dyDescent="0.45">
      <c r="A586" t="s">
        <v>62</v>
      </c>
      <c r="B586" t="s">
        <v>29</v>
      </c>
      <c r="C586" t="s">
        <v>29</v>
      </c>
      <c r="D586" t="s">
        <v>60</v>
      </c>
      <c r="E586">
        <v>15</v>
      </c>
      <c r="F586">
        <v>20</v>
      </c>
      <c r="G586" t="s">
        <v>66</v>
      </c>
      <c r="H586" t="s">
        <v>41</v>
      </c>
      <c r="I586" s="24">
        <v>46064</v>
      </c>
      <c r="J586" t="s">
        <v>117</v>
      </c>
      <c r="K586" t="s">
        <v>117</v>
      </c>
      <c r="L586" t="s">
        <v>117</v>
      </c>
      <c r="M586">
        <v>0</v>
      </c>
      <c r="N586">
        <v>0</v>
      </c>
      <c r="O586">
        <v>2.8571428571428572</v>
      </c>
      <c r="P586">
        <v>0</v>
      </c>
    </row>
    <row r="587" spans="1:16" x14ac:dyDescent="0.45">
      <c r="A587" t="s">
        <v>48</v>
      </c>
      <c r="B587" t="s">
        <v>30</v>
      </c>
      <c r="C587" t="s">
        <v>28</v>
      </c>
      <c r="D587" t="s">
        <v>49</v>
      </c>
      <c r="E587">
        <v>30</v>
      </c>
      <c r="F587">
        <v>40</v>
      </c>
      <c r="G587" t="s">
        <v>67</v>
      </c>
      <c r="H587" t="s">
        <v>41</v>
      </c>
      <c r="I587" s="24">
        <v>46065</v>
      </c>
      <c r="J587" t="s">
        <v>117</v>
      </c>
      <c r="K587" t="s">
        <v>117</v>
      </c>
      <c r="L587" t="s">
        <v>117</v>
      </c>
      <c r="M587">
        <v>0</v>
      </c>
      <c r="N587">
        <v>0</v>
      </c>
      <c r="O587">
        <v>5.7142857142857144</v>
      </c>
      <c r="P587">
        <v>0</v>
      </c>
    </row>
    <row r="588" spans="1:16" x14ac:dyDescent="0.45">
      <c r="A588" t="s">
        <v>50</v>
      </c>
      <c r="B588" t="s">
        <v>27</v>
      </c>
      <c r="C588" t="s">
        <v>28</v>
      </c>
      <c r="D588" t="s">
        <v>49</v>
      </c>
      <c r="E588">
        <v>25</v>
      </c>
      <c r="F588">
        <v>40</v>
      </c>
      <c r="G588" t="s">
        <v>67</v>
      </c>
      <c r="H588" t="s">
        <v>37</v>
      </c>
      <c r="I588" s="24">
        <v>46065</v>
      </c>
      <c r="J588" t="s">
        <v>117</v>
      </c>
      <c r="K588" t="s">
        <v>117</v>
      </c>
      <c r="L588" t="s">
        <v>117</v>
      </c>
      <c r="M588">
        <v>7</v>
      </c>
      <c r="N588">
        <v>175</v>
      </c>
      <c r="O588">
        <v>5.7142857142857144</v>
      </c>
      <c r="P588">
        <v>0</v>
      </c>
    </row>
    <row r="589" spans="1:16" x14ac:dyDescent="0.45">
      <c r="A589" t="s">
        <v>51</v>
      </c>
      <c r="B589" t="s">
        <v>27</v>
      </c>
      <c r="C589" t="s">
        <v>28</v>
      </c>
      <c r="D589" t="s">
        <v>49</v>
      </c>
      <c r="E589">
        <v>25</v>
      </c>
      <c r="F589">
        <v>40</v>
      </c>
      <c r="G589" t="s">
        <v>67</v>
      </c>
      <c r="H589" t="s">
        <v>35</v>
      </c>
      <c r="I589" s="24">
        <v>46065</v>
      </c>
      <c r="J589" t="s">
        <v>117</v>
      </c>
      <c r="K589" t="s">
        <v>117</v>
      </c>
      <c r="L589" t="s">
        <v>117</v>
      </c>
      <c r="M589">
        <v>7</v>
      </c>
      <c r="N589">
        <v>175</v>
      </c>
      <c r="O589">
        <v>5.7142857142857144</v>
      </c>
      <c r="P589">
        <v>0</v>
      </c>
    </row>
    <row r="590" spans="1:16" x14ac:dyDescent="0.45">
      <c r="A590" t="s">
        <v>52</v>
      </c>
      <c r="B590" t="s">
        <v>26</v>
      </c>
      <c r="C590" t="s">
        <v>26</v>
      </c>
      <c r="D590" t="s">
        <v>49</v>
      </c>
      <c r="E590">
        <v>35</v>
      </c>
      <c r="F590">
        <v>40</v>
      </c>
      <c r="G590" t="s">
        <v>67</v>
      </c>
      <c r="H590" t="s">
        <v>41</v>
      </c>
      <c r="I590" s="24">
        <v>46065</v>
      </c>
      <c r="J590" t="s">
        <v>117</v>
      </c>
      <c r="K590" t="s">
        <v>117</v>
      </c>
      <c r="L590" t="s">
        <v>117</v>
      </c>
      <c r="M590">
        <v>0</v>
      </c>
      <c r="N590">
        <v>0</v>
      </c>
      <c r="O590">
        <v>5.7142857142857144</v>
      </c>
      <c r="P590">
        <v>0</v>
      </c>
    </row>
    <row r="591" spans="1:16" x14ac:dyDescent="0.45">
      <c r="A591" t="s">
        <v>53</v>
      </c>
      <c r="B591" t="s">
        <v>26</v>
      </c>
      <c r="C591" t="s">
        <v>26</v>
      </c>
      <c r="D591" t="s">
        <v>49</v>
      </c>
      <c r="E591">
        <v>35</v>
      </c>
      <c r="F591">
        <v>40</v>
      </c>
      <c r="G591" t="s">
        <v>67</v>
      </c>
      <c r="H591" t="s">
        <v>44</v>
      </c>
      <c r="I591" s="24">
        <v>46065</v>
      </c>
      <c r="J591" t="s">
        <v>117</v>
      </c>
      <c r="K591" t="s">
        <v>117</v>
      </c>
      <c r="L591" t="s">
        <v>117</v>
      </c>
      <c r="M591">
        <v>8</v>
      </c>
      <c r="N591">
        <v>280</v>
      </c>
      <c r="O591">
        <v>5.7142857142857144</v>
      </c>
      <c r="P591">
        <v>0</v>
      </c>
    </row>
    <row r="592" spans="1:16" x14ac:dyDescent="0.45">
      <c r="A592" t="s">
        <v>54</v>
      </c>
      <c r="B592" t="s">
        <v>25</v>
      </c>
      <c r="C592" t="s">
        <v>26</v>
      </c>
      <c r="D592" t="s">
        <v>49</v>
      </c>
      <c r="E592">
        <v>28</v>
      </c>
      <c r="F592">
        <v>40</v>
      </c>
      <c r="G592" t="s">
        <v>67</v>
      </c>
      <c r="H592" t="s">
        <v>42</v>
      </c>
      <c r="I592" s="24">
        <v>46065</v>
      </c>
      <c r="J592" t="s">
        <v>117</v>
      </c>
      <c r="K592" t="s">
        <v>117</v>
      </c>
      <c r="L592" t="s">
        <v>117</v>
      </c>
      <c r="M592">
        <v>7.9999999999999982</v>
      </c>
      <c r="N592">
        <v>223.99999999999994</v>
      </c>
      <c r="O592">
        <v>5.7142857142857144</v>
      </c>
      <c r="P592">
        <v>0</v>
      </c>
    </row>
    <row r="593" spans="1:16" x14ac:dyDescent="0.45">
      <c r="A593" t="s">
        <v>55</v>
      </c>
      <c r="B593" t="s">
        <v>25</v>
      </c>
      <c r="C593" t="s">
        <v>26</v>
      </c>
      <c r="D593" t="s">
        <v>49</v>
      </c>
      <c r="E593">
        <v>28</v>
      </c>
      <c r="F593">
        <v>40</v>
      </c>
      <c r="G593" t="s">
        <v>67</v>
      </c>
      <c r="H593" t="s">
        <v>44</v>
      </c>
      <c r="I593" s="24">
        <v>46065</v>
      </c>
      <c r="J593" t="s">
        <v>117</v>
      </c>
      <c r="K593" t="s">
        <v>117</v>
      </c>
      <c r="L593" t="s">
        <v>117</v>
      </c>
      <c r="M593">
        <v>8</v>
      </c>
      <c r="N593">
        <v>224</v>
      </c>
      <c r="O593">
        <v>5.7142857142857144</v>
      </c>
      <c r="P593">
        <v>0</v>
      </c>
    </row>
    <row r="594" spans="1:16" x14ac:dyDescent="0.45">
      <c r="A594" t="s">
        <v>56</v>
      </c>
      <c r="B594" t="s">
        <v>29</v>
      </c>
      <c r="C594" t="s">
        <v>29</v>
      </c>
      <c r="D594" t="s">
        <v>49</v>
      </c>
      <c r="E594">
        <v>20</v>
      </c>
      <c r="F594">
        <v>40</v>
      </c>
      <c r="G594" t="s">
        <v>67</v>
      </c>
      <c r="H594" t="s">
        <v>41</v>
      </c>
      <c r="I594" s="24">
        <v>46065</v>
      </c>
      <c r="J594" t="s">
        <v>117</v>
      </c>
      <c r="K594" t="s">
        <v>117</v>
      </c>
      <c r="L594" t="s">
        <v>117</v>
      </c>
      <c r="M594">
        <v>0</v>
      </c>
      <c r="N594">
        <v>0</v>
      </c>
      <c r="O594">
        <v>5.7142857142857144</v>
      </c>
      <c r="P594">
        <v>0</v>
      </c>
    </row>
    <row r="595" spans="1:16" x14ac:dyDescent="0.45">
      <c r="A595" t="s">
        <v>57</v>
      </c>
      <c r="B595" t="s">
        <v>29</v>
      </c>
      <c r="C595" t="s">
        <v>29</v>
      </c>
      <c r="D595" t="s">
        <v>49</v>
      </c>
      <c r="E595">
        <v>20</v>
      </c>
      <c r="F595">
        <v>40</v>
      </c>
      <c r="G595" t="s">
        <v>67</v>
      </c>
      <c r="H595" t="s">
        <v>44</v>
      </c>
      <c r="I595" s="24">
        <v>46065</v>
      </c>
      <c r="J595" t="s">
        <v>117</v>
      </c>
      <c r="K595" t="s">
        <v>117</v>
      </c>
      <c r="L595" t="s">
        <v>117</v>
      </c>
      <c r="M595">
        <v>8</v>
      </c>
      <c r="N595">
        <v>160</v>
      </c>
      <c r="O595">
        <v>5.7142857142857144</v>
      </c>
      <c r="P595">
        <v>0</v>
      </c>
    </row>
    <row r="596" spans="1:16" x14ac:dyDescent="0.45">
      <c r="A596" t="s">
        <v>58</v>
      </c>
      <c r="B596" t="s">
        <v>29</v>
      </c>
      <c r="C596" t="s">
        <v>29</v>
      </c>
      <c r="D596" t="s">
        <v>49</v>
      </c>
      <c r="E596">
        <v>20</v>
      </c>
      <c r="F596">
        <v>40</v>
      </c>
      <c r="G596" t="s">
        <v>67</v>
      </c>
      <c r="H596" t="s">
        <v>44</v>
      </c>
      <c r="I596" s="24">
        <v>46065</v>
      </c>
      <c r="J596" t="s">
        <v>117</v>
      </c>
      <c r="K596" t="s">
        <v>117</v>
      </c>
      <c r="L596" t="s">
        <v>117</v>
      </c>
      <c r="M596">
        <v>8</v>
      </c>
      <c r="N596">
        <v>160</v>
      </c>
      <c r="O596">
        <v>5.7142857142857144</v>
      </c>
      <c r="P596">
        <v>0</v>
      </c>
    </row>
    <row r="597" spans="1:16" x14ac:dyDescent="0.45">
      <c r="A597" t="s">
        <v>59</v>
      </c>
      <c r="B597" t="s">
        <v>29</v>
      </c>
      <c r="C597" t="s">
        <v>29</v>
      </c>
      <c r="D597" t="s">
        <v>60</v>
      </c>
      <c r="E597">
        <v>15</v>
      </c>
      <c r="F597">
        <v>20</v>
      </c>
      <c r="G597" t="s">
        <v>67</v>
      </c>
      <c r="H597" t="s">
        <v>46</v>
      </c>
      <c r="I597" s="24">
        <v>46065</v>
      </c>
      <c r="J597" t="s">
        <v>117</v>
      </c>
      <c r="K597" t="s">
        <v>117</v>
      </c>
      <c r="L597" t="s">
        <v>117</v>
      </c>
      <c r="M597">
        <v>4.9999999999999982</v>
      </c>
      <c r="N597">
        <v>74.999999999999972</v>
      </c>
      <c r="O597">
        <v>2.8571428571428572</v>
      </c>
      <c r="P597">
        <v>0</v>
      </c>
    </row>
    <row r="598" spans="1:16" x14ac:dyDescent="0.45">
      <c r="A598" t="s">
        <v>61</v>
      </c>
      <c r="B598" t="s">
        <v>29</v>
      </c>
      <c r="C598" t="s">
        <v>29</v>
      </c>
      <c r="D598" t="s">
        <v>60</v>
      </c>
      <c r="E598">
        <v>15</v>
      </c>
      <c r="F598">
        <v>20</v>
      </c>
      <c r="G598" t="s">
        <v>67</v>
      </c>
      <c r="H598" t="s">
        <v>41</v>
      </c>
      <c r="I598" s="24">
        <v>46065</v>
      </c>
      <c r="J598" t="s">
        <v>117</v>
      </c>
      <c r="K598" t="s">
        <v>117</v>
      </c>
      <c r="L598" t="s">
        <v>117</v>
      </c>
      <c r="M598">
        <v>0</v>
      </c>
      <c r="N598">
        <v>0</v>
      </c>
      <c r="O598">
        <v>2.8571428571428572</v>
      </c>
      <c r="P598">
        <v>0</v>
      </c>
    </row>
    <row r="599" spans="1:16" x14ac:dyDescent="0.45">
      <c r="A599" t="s">
        <v>62</v>
      </c>
      <c r="B599" t="s">
        <v>29</v>
      </c>
      <c r="C599" t="s">
        <v>29</v>
      </c>
      <c r="D599" t="s">
        <v>60</v>
      </c>
      <c r="E599">
        <v>15</v>
      </c>
      <c r="F599">
        <v>20</v>
      </c>
      <c r="G599" t="s">
        <v>67</v>
      </c>
      <c r="H599" t="s">
        <v>41</v>
      </c>
      <c r="I599" s="24">
        <v>46065</v>
      </c>
      <c r="J599" t="s">
        <v>117</v>
      </c>
      <c r="K599" t="s">
        <v>117</v>
      </c>
      <c r="L599" t="s">
        <v>117</v>
      </c>
      <c r="M599">
        <v>0</v>
      </c>
      <c r="N599">
        <v>0</v>
      </c>
      <c r="O599">
        <v>2.8571428571428572</v>
      </c>
      <c r="P599">
        <v>0</v>
      </c>
    </row>
    <row r="600" spans="1:16" x14ac:dyDescent="0.45">
      <c r="A600" t="s">
        <v>48</v>
      </c>
      <c r="B600" t="s">
        <v>30</v>
      </c>
      <c r="C600" t="s">
        <v>28</v>
      </c>
      <c r="D600" t="s">
        <v>49</v>
      </c>
      <c r="E600">
        <v>30</v>
      </c>
      <c r="F600">
        <v>40</v>
      </c>
      <c r="G600" t="s">
        <v>68</v>
      </c>
      <c r="H600" t="s">
        <v>35</v>
      </c>
      <c r="I600" s="24">
        <v>46066</v>
      </c>
      <c r="J600" t="s">
        <v>117</v>
      </c>
      <c r="K600" t="s">
        <v>117</v>
      </c>
      <c r="L600" t="s">
        <v>117</v>
      </c>
      <c r="M600">
        <v>7</v>
      </c>
      <c r="N600">
        <v>210</v>
      </c>
      <c r="O600">
        <v>5.7142857142857144</v>
      </c>
      <c r="P600">
        <v>0</v>
      </c>
    </row>
    <row r="601" spans="1:16" x14ac:dyDescent="0.45">
      <c r="A601" t="s">
        <v>50</v>
      </c>
      <c r="B601" t="s">
        <v>27</v>
      </c>
      <c r="C601" t="s">
        <v>28</v>
      </c>
      <c r="D601" t="s">
        <v>49</v>
      </c>
      <c r="E601">
        <v>25</v>
      </c>
      <c r="F601">
        <v>40</v>
      </c>
      <c r="G601" t="s">
        <v>68</v>
      </c>
      <c r="H601" t="s">
        <v>37</v>
      </c>
      <c r="I601" s="24">
        <v>46066</v>
      </c>
      <c r="J601" t="s">
        <v>117</v>
      </c>
      <c r="K601" t="s">
        <v>117</v>
      </c>
      <c r="L601" t="s">
        <v>117</v>
      </c>
      <c r="M601">
        <v>7</v>
      </c>
      <c r="N601">
        <v>175</v>
      </c>
      <c r="O601">
        <v>5.7142857142857144</v>
      </c>
      <c r="P601">
        <v>0</v>
      </c>
    </row>
    <row r="602" spans="1:16" x14ac:dyDescent="0.45">
      <c r="A602" t="s">
        <v>51</v>
      </c>
      <c r="B602" t="s">
        <v>27</v>
      </c>
      <c r="C602" t="s">
        <v>28</v>
      </c>
      <c r="D602" t="s">
        <v>49</v>
      </c>
      <c r="E602">
        <v>25</v>
      </c>
      <c r="F602">
        <v>40</v>
      </c>
      <c r="G602" t="s">
        <v>68</v>
      </c>
      <c r="H602" t="s">
        <v>35</v>
      </c>
      <c r="I602" s="24">
        <v>46066</v>
      </c>
      <c r="J602" t="s">
        <v>117</v>
      </c>
      <c r="K602" t="s">
        <v>117</v>
      </c>
      <c r="L602" t="s">
        <v>117</v>
      </c>
      <c r="M602">
        <v>7</v>
      </c>
      <c r="N602">
        <v>175</v>
      </c>
      <c r="O602">
        <v>5.7142857142857144</v>
      </c>
      <c r="P602">
        <v>0</v>
      </c>
    </row>
    <row r="603" spans="1:16" x14ac:dyDescent="0.45">
      <c r="A603" t="s">
        <v>52</v>
      </c>
      <c r="B603" t="s">
        <v>26</v>
      </c>
      <c r="C603" t="s">
        <v>26</v>
      </c>
      <c r="D603" t="s">
        <v>49</v>
      </c>
      <c r="E603">
        <v>35</v>
      </c>
      <c r="F603">
        <v>40</v>
      </c>
      <c r="G603" t="s">
        <v>68</v>
      </c>
      <c r="H603" t="s">
        <v>41</v>
      </c>
      <c r="I603" s="24">
        <v>46066</v>
      </c>
      <c r="J603" t="s">
        <v>117</v>
      </c>
      <c r="K603" t="s">
        <v>117</v>
      </c>
      <c r="L603" t="s">
        <v>117</v>
      </c>
      <c r="M603">
        <v>0</v>
      </c>
      <c r="N603">
        <v>0</v>
      </c>
      <c r="O603">
        <v>5.7142857142857144</v>
      </c>
      <c r="P603">
        <v>0</v>
      </c>
    </row>
    <row r="604" spans="1:16" x14ac:dyDescent="0.45">
      <c r="A604" t="s">
        <v>53</v>
      </c>
      <c r="B604" t="s">
        <v>26</v>
      </c>
      <c r="C604" t="s">
        <v>26</v>
      </c>
      <c r="D604" t="s">
        <v>49</v>
      </c>
      <c r="E604">
        <v>35</v>
      </c>
      <c r="F604">
        <v>40</v>
      </c>
      <c r="G604" t="s">
        <v>68</v>
      </c>
      <c r="H604" t="s">
        <v>41</v>
      </c>
      <c r="I604" s="24">
        <v>46066</v>
      </c>
      <c r="J604" t="s">
        <v>117</v>
      </c>
      <c r="K604" t="s">
        <v>117</v>
      </c>
      <c r="L604" t="s">
        <v>117</v>
      </c>
      <c r="M604">
        <v>0</v>
      </c>
      <c r="N604">
        <v>0</v>
      </c>
      <c r="O604">
        <v>5.7142857142857144</v>
      </c>
      <c r="P604">
        <v>0</v>
      </c>
    </row>
    <row r="605" spans="1:16" x14ac:dyDescent="0.45">
      <c r="A605" t="s">
        <v>54</v>
      </c>
      <c r="B605" t="s">
        <v>25</v>
      </c>
      <c r="C605" t="s">
        <v>26</v>
      </c>
      <c r="D605" t="s">
        <v>49</v>
      </c>
      <c r="E605">
        <v>28</v>
      </c>
      <c r="F605">
        <v>40</v>
      </c>
      <c r="G605" t="s">
        <v>68</v>
      </c>
      <c r="H605" t="s">
        <v>42</v>
      </c>
      <c r="I605" s="24">
        <v>46066</v>
      </c>
      <c r="J605" t="s">
        <v>117</v>
      </c>
      <c r="K605" t="s">
        <v>117</v>
      </c>
      <c r="L605" t="s">
        <v>117</v>
      </c>
      <c r="M605">
        <v>7.9999999999999982</v>
      </c>
      <c r="N605">
        <v>223.99999999999994</v>
      </c>
      <c r="O605">
        <v>5.7142857142857144</v>
      </c>
      <c r="P605">
        <v>0</v>
      </c>
    </row>
    <row r="606" spans="1:16" x14ac:dyDescent="0.45">
      <c r="A606" t="s">
        <v>55</v>
      </c>
      <c r="B606" t="s">
        <v>25</v>
      </c>
      <c r="C606" t="s">
        <v>26</v>
      </c>
      <c r="D606" t="s">
        <v>49</v>
      </c>
      <c r="E606">
        <v>28</v>
      </c>
      <c r="F606">
        <v>40</v>
      </c>
      <c r="G606" t="s">
        <v>68</v>
      </c>
      <c r="H606" t="s">
        <v>44</v>
      </c>
      <c r="I606" s="24">
        <v>46066</v>
      </c>
      <c r="J606" t="s">
        <v>117</v>
      </c>
      <c r="K606" t="s">
        <v>117</v>
      </c>
      <c r="L606" t="s">
        <v>117</v>
      </c>
      <c r="M606">
        <v>8</v>
      </c>
      <c r="N606">
        <v>224</v>
      </c>
      <c r="O606">
        <v>5.7142857142857144</v>
      </c>
      <c r="P606">
        <v>0</v>
      </c>
    </row>
    <row r="607" spans="1:16" x14ac:dyDescent="0.45">
      <c r="A607" t="s">
        <v>56</v>
      </c>
      <c r="B607" t="s">
        <v>29</v>
      </c>
      <c r="C607" t="s">
        <v>29</v>
      </c>
      <c r="D607" t="s">
        <v>49</v>
      </c>
      <c r="E607">
        <v>20</v>
      </c>
      <c r="F607">
        <v>40</v>
      </c>
      <c r="G607" t="s">
        <v>68</v>
      </c>
      <c r="H607" t="s">
        <v>44</v>
      </c>
      <c r="I607" s="24">
        <v>46066</v>
      </c>
      <c r="J607" t="s">
        <v>117</v>
      </c>
      <c r="K607" t="s">
        <v>117</v>
      </c>
      <c r="L607" t="s">
        <v>117</v>
      </c>
      <c r="M607">
        <v>8</v>
      </c>
      <c r="N607">
        <v>160</v>
      </c>
      <c r="O607">
        <v>5.7142857142857144</v>
      </c>
      <c r="P607">
        <v>0</v>
      </c>
    </row>
    <row r="608" spans="1:16" x14ac:dyDescent="0.45">
      <c r="A608" t="s">
        <v>57</v>
      </c>
      <c r="B608" t="s">
        <v>29</v>
      </c>
      <c r="C608" t="s">
        <v>29</v>
      </c>
      <c r="D608" t="s">
        <v>49</v>
      </c>
      <c r="E608">
        <v>20</v>
      </c>
      <c r="F608">
        <v>40</v>
      </c>
      <c r="G608" t="s">
        <v>68</v>
      </c>
      <c r="H608" t="s">
        <v>41</v>
      </c>
      <c r="I608" s="24">
        <v>46066</v>
      </c>
      <c r="J608" t="s">
        <v>117</v>
      </c>
      <c r="K608" t="s">
        <v>117</v>
      </c>
      <c r="L608" t="s">
        <v>117</v>
      </c>
      <c r="M608">
        <v>0</v>
      </c>
      <c r="N608">
        <v>0</v>
      </c>
      <c r="O608">
        <v>5.7142857142857144</v>
      </c>
      <c r="P608">
        <v>0</v>
      </c>
    </row>
    <row r="609" spans="1:16" x14ac:dyDescent="0.45">
      <c r="A609" t="s">
        <v>58</v>
      </c>
      <c r="B609" t="s">
        <v>29</v>
      </c>
      <c r="C609" t="s">
        <v>29</v>
      </c>
      <c r="D609" t="s">
        <v>49</v>
      </c>
      <c r="E609">
        <v>20</v>
      </c>
      <c r="F609">
        <v>40</v>
      </c>
      <c r="G609" t="s">
        <v>68</v>
      </c>
      <c r="H609" t="s">
        <v>46</v>
      </c>
      <c r="I609" s="24">
        <v>46066</v>
      </c>
      <c r="J609" t="s">
        <v>117</v>
      </c>
      <c r="K609" t="s">
        <v>117</v>
      </c>
      <c r="L609" t="s">
        <v>117</v>
      </c>
      <c r="M609">
        <v>4.9999999999999982</v>
      </c>
      <c r="N609">
        <v>99.999999999999972</v>
      </c>
      <c r="O609">
        <v>5.7142857142857144</v>
      </c>
      <c r="P609">
        <v>0</v>
      </c>
    </row>
    <row r="610" spans="1:16" x14ac:dyDescent="0.45">
      <c r="A610" t="s">
        <v>59</v>
      </c>
      <c r="B610" t="s">
        <v>29</v>
      </c>
      <c r="C610" t="s">
        <v>29</v>
      </c>
      <c r="D610" t="s">
        <v>60</v>
      </c>
      <c r="E610">
        <v>15</v>
      </c>
      <c r="F610">
        <v>20</v>
      </c>
      <c r="G610" t="s">
        <v>68</v>
      </c>
      <c r="H610" t="s">
        <v>46</v>
      </c>
      <c r="I610" s="24">
        <v>46066</v>
      </c>
      <c r="J610" t="s">
        <v>117</v>
      </c>
      <c r="K610" t="s">
        <v>117</v>
      </c>
      <c r="L610" t="s">
        <v>117</v>
      </c>
      <c r="M610">
        <v>4.9999999999999982</v>
      </c>
      <c r="N610">
        <v>74.999999999999972</v>
      </c>
      <c r="O610">
        <v>2.8571428571428572</v>
      </c>
      <c r="P610">
        <v>0</v>
      </c>
    </row>
    <row r="611" spans="1:16" x14ac:dyDescent="0.45">
      <c r="A611" t="s">
        <v>61</v>
      </c>
      <c r="B611" t="s">
        <v>29</v>
      </c>
      <c r="C611" t="s">
        <v>29</v>
      </c>
      <c r="D611" t="s">
        <v>60</v>
      </c>
      <c r="E611">
        <v>15</v>
      </c>
      <c r="F611">
        <v>20</v>
      </c>
      <c r="G611" t="s">
        <v>68</v>
      </c>
      <c r="H611" t="s">
        <v>46</v>
      </c>
      <c r="I611" s="24">
        <v>46066</v>
      </c>
      <c r="J611" t="s">
        <v>117</v>
      </c>
      <c r="K611" t="s">
        <v>117</v>
      </c>
      <c r="L611" t="s">
        <v>117</v>
      </c>
      <c r="M611">
        <v>4.9999999999999982</v>
      </c>
      <c r="N611">
        <v>74.999999999999972</v>
      </c>
      <c r="O611">
        <v>2.8571428571428572</v>
      </c>
      <c r="P611">
        <v>0</v>
      </c>
    </row>
    <row r="612" spans="1:16" x14ac:dyDescent="0.45">
      <c r="A612" t="s">
        <v>62</v>
      </c>
      <c r="B612" t="s">
        <v>29</v>
      </c>
      <c r="C612" t="s">
        <v>29</v>
      </c>
      <c r="D612" t="s">
        <v>60</v>
      </c>
      <c r="E612">
        <v>15</v>
      </c>
      <c r="F612">
        <v>20</v>
      </c>
      <c r="G612" t="s">
        <v>68</v>
      </c>
      <c r="H612" t="s">
        <v>39</v>
      </c>
      <c r="I612" s="24">
        <v>46066</v>
      </c>
      <c r="J612" t="s">
        <v>117</v>
      </c>
      <c r="K612" t="s">
        <v>117</v>
      </c>
      <c r="L612" t="s">
        <v>117</v>
      </c>
      <c r="M612">
        <v>4.9999999999999982</v>
      </c>
      <c r="N612">
        <v>74.999999999999972</v>
      </c>
      <c r="O612">
        <v>2.8571428571428572</v>
      </c>
      <c r="P612">
        <v>0</v>
      </c>
    </row>
    <row r="613" spans="1:16" x14ac:dyDescent="0.45">
      <c r="A613" t="s">
        <v>48</v>
      </c>
      <c r="B613" t="s">
        <v>30</v>
      </c>
      <c r="C613" t="s">
        <v>28</v>
      </c>
      <c r="D613" t="s">
        <v>49</v>
      </c>
      <c r="E613">
        <v>30</v>
      </c>
      <c r="F613">
        <v>40</v>
      </c>
      <c r="G613" t="s">
        <v>69</v>
      </c>
      <c r="H613" t="s">
        <v>37</v>
      </c>
      <c r="I613" s="24">
        <v>46067</v>
      </c>
      <c r="J613" t="s">
        <v>118</v>
      </c>
      <c r="K613" t="s">
        <v>117</v>
      </c>
      <c r="L613" t="s">
        <v>118</v>
      </c>
      <c r="M613">
        <v>7</v>
      </c>
      <c r="N613">
        <v>315</v>
      </c>
      <c r="O613">
        <v>5.7142857142857144</v>
      </c>
      <c r="P613">
        <v>1</v>
      </c>
    </row>
    <row r="614" spans="1:16" x14ac:dyDescent="0.45">
      <c r="A614" t="s">
        <v>50</v>
      </c>
      <c r="B614" t="s">
        <v>27</v>
      </c>
      <c r="C614" t="s">
        <v>28</v>
      </c>
      <c r="D614" t="s">
        <v>49</v>
      </c>
      <c r="E614">
        <v>25</v>
      </c>
      <c r="F614">
        <v>40</v>
      </c>
      <c r="G614" t="s">
        <v>69</v>
      </c>
      <c r="H614" t="s">
        <v>40</v>
      </c>
      <c r="I614" s="24">
        <v>46067</v>
      </c>
      <c r="J614" t="s">
        <v>118</v>
      </c>
      <c r="K614" t="s">
        <v>117</v>
      </c>
      <c r="L614" t="s">
        <v>118</v>
      </c>
      <c r="M614">
        <v>5</v>
      </c>
      <c r="N614">
        <v>187.5</v>
      </c>
      <c r="O614">
        <v>5.7142857142857144</v>
      </c>
      <c r="P614">
        <v>1</v>
      </c>
    </row>
    <row r="615" spans="1:16" x14ac:dyDescent="0.45">
      <c r="A615" t="s">
        <v>51</v>
      </c>
      <c r="B615" t="s">
        <v>27</v>
      </c>
      <c r="C615" t="s">
        <v>28</v>
      </c>
      <c r="D615" t="s">
        <v>49</v>
      </c>
      <c r="E615">
        <v>25</v>
      </c>
      <c r="F615">
        <v>40</v>
      </c>
      <c r="G615" t="s">
        <v>69</v>
      </c>
      <c r="H615" t="s">
        <v>35</v>
      </c>
      <c r="I615" s="24">
        <v>46067</v>
      </c>
      <c r="J615" t="s">
        <v>118</v>
      </c>
      <c r="K615" t="s">
        <v>117</v>
      </c>
      <c r="L615" t="s">
        <v>118</v>
      </c>
      <c r="M615">
        <v>7</v>
      </c>
      <c r="N615">
        <v>262.5</v>
      </c>
      <c r="O615">
        <v>5.7142857142857144</v>
      </c>
      <c r="P615">
        <v>1</v>
      </c>
    </row>
    <row r="616" spans="1:16" x14ac:dyDescent="0.45">
      <c r="A616" t="s">
        <v>52</v>
      </c>
      <c r="B616" t="s">
        <v>26</v>
      </c>
      <c r="C616" t="s">
        <v>26</v>
      </c>
      <c r="D616" t="s">
        <v>49</v>
      </c>
      <c r="E616">
        <v>35</v>
      </c>
      <c r="F616">
        <v>40</v>
      </c>
      <c r="G616" t="s">
        <v>69</v>
      </c>
      <c r="H616" t="s">
        <v>41</v>
      </c>
      <c r="I616" s="24">
        <v>46067</v>
      </c>
      <c r="J616" t="s">
        <v>118</v>
      </c>
      <c r="K616" t="s">
        <v>117</v>
      </c>
      <c r="L616" t="s">
        <v>118</v>
      </c>
      <c r="M616">
        <v>0</v>
      </c>
      <c r="N616">
        <v>0</v>
      </c>
      <c r="O616">
        <v>5.7142857142857144</v>
      </c>
      <c r="P616">
        <v>0</v>
      </c>
    </row>
    <row r="617" spans="1:16" x14ac:dyDescent="0.45">
      <c r="A617" t="s">
        <v>53</v>
      </c>
      <c r="B617" t="s">
        <v>26</v>
      </c>
      <c r="C617" t="s">
        <v>26</v>
      </c>
      <c r="D617" t="s">
        <v>49</v>
      </c>
      <c r="E617">
        <v>35</v>
      </c>
      <c r="F617">
        <v>40</v>
      </c>
      <c r="G617" t="s">
        <v>69</v>
      </c>
      <c r="H617" t="s">
        <v>42</v>
      </c>
      <c r="I617" s="24">
        <v>46067</v>
      </c>
      <c r="J617" t="s">
        <v>118</v>
      </c>
      <c r="K617" t="s">
        <v>117</v>
      </c>
      <c r="L617" t="s">
        <v>118</v>
      </c>
      <c r="M617">
        <v>7.9999999999999982</v>
      </c>
      <c r="N617">
        <v>419.99999999999989</v>
      </c>
      <c r="O617">
        <v>5.7142857142857144</v>
      </c>
      <c r="P617">
        <v>1</v>
      </c>
    </row>
    <row r="618" spans="1:16" x14ac:dyDescent="0.45">
      <c r="A618" t="s">
        <v>54</v>
      </c>
      <c r="B618" t="s">
        <v>25</v>
      </c>
      <c r="C618" t="s">
        <v>26</v>
      </c>
      <c r="D618" t="s">
        <v>49</v>
      </c>
      <c r="E618">
        <v>28</v>
      </c>
      <c r="F618">
        <v>40</v>
      </c>
      <c r="G618" t="s">
        <v>69</v>
      </c>
      <c r="H618" t="s">
        <v>44</v>
      </c>
      <c r="I618" s="24">
        <v>46067</v>
      </c>
      <c r="J618" t="s">
        <v>118</v>
      </c>
      <c r="K618" t="s">
        <v>117</v>
      </c>
      <c r="L618" t="s">
        <v>118</v>
      </c>
      <c r="M618">
        <v>8</v>
      </c>
      <c r="N618">
        <v>336</v>
      </c>
      <c r="O618">
        <v>5.7142857142857144</v>
      </c>
      <c r="P618">
        <v>1</v>
      </c>
    </row>
    <row r="619" spans="1:16" x14ac:dyDescent="0.45">
      <c r="A619" t="s">
        <v>55</v>
      </c>
      <c r="B619" t="s">
        <v>25</v>
      </c>
      <c r="C619" t="s">
        <v>26</v>
      </c>
      <c r="D619" t="s">
        <v>49</v>
      </c>
      <c r="E619">
        <v>28</v>
      </c>
      <c r="F619">
        <v>40</v>
      </c>
      <c r="G619" t="s">
        <v>69</v>
      </c>
      <c r="H619" t="s">
        <v>41</v>
      </c>
      <c r="I619" s="24">
        <v>46067</v>
      </c>
      <c r="J619" t="s">
        <v>118</v>
      </c>
      <c r="K619" t="s">
        <v>117</v>
      </c>
      <c r="L619" t="s">
        <v>118</v>
      </c>
      <c r="M619">
        <v>0</v>
      </c>
      <c r="N619">
        <v>0</v>
      </c>
      <c r="O619">
        <v>5.7142857142857144</v>
      </c>
      <c r="P619">
        <v>0</v>
      </c>
    </row>
    <row r="620" spans="1:16" x14ac:dyDescent="0.45">
      <c r="A620" t="s">
        <v>56</v>
      </c>
      <c r="B620" t="s">
        <v>29</v>
      </c>
      <c r="C620" t="s">
        <v>29</v>
      </c>
      <c r="D620" t="s">
        <v>49</v>
      </c>
      <c r="E620">
        <v>20</v>
      </c>
      <c r="F620">
        <v>40</v>
      </c>
      <c r="G620" t="s">
        <v>69</v>
      </c>
      <c r="H620" t="s">
        <v>45</v>
      </c>
      <c r="I620" s="24">
        <v>46067</v>
      </c>
      <c r="J620" t="s">
        <v>118</v>
      </c>
      <c r="K620" t="s">
        <v>117</v>
      </c>
      <c r="L620" t="s">
        <v>118</v>
      </c>
      <c r="M620">
        <v>7.9999999999999982</v>
      </c>
      <c r="N620">
        <v>239.99999999999994</v>
      </c>
      <c r="O620">
        <v>5.7142857142857144</v>
      </c>
      <c r="P620">
        <v>1</v>
      </c>
    </row>
    <row r="621" spans="1:16" x14ac:dyDescent="0.45">
      <c r="A621" t="s">
        <v>57</v>
      </c>
      <c r="B621" t="s">
        <v>29</v>
      </c>
      <c r="C621" t="s">
        <v>29</v>
      </c>
      <c r="D621" t="s">
        <v>49</v>
      </c>
      <c r="E621">
        <v>20</v>
      </c>
      <c r="F621">
        <v>40</v>
      </c>
      <c r="G621" t="s">
        <v>69</v>
      </c>
      <c r="H621" t="s">
        <v>41</v>
      </c>
      <c r="I621" s="24">
        <v>46067</v>
      </c>
      <c r="J621" t="s">
        <v>118</v>
      </c>
      <c r="K621" t="s">
        <v>117</v>
      </c>
      <c r="L621" t="s">
        <v>118</v>
      </c>
      <c r="M621">
        <v>0</v>
      </c>
      <c r="N621">
        <v>0</v>
      </c>
      <c r="O621">
        <v>5.7142857142857144</v>
      </c>
      <c r="P621">
        <v>0</v>
      </c>
    </row>
    <row r="622" spans="1:16" x14ac:dyDescent="0.45">
      <c r="A622" t="s">
        <v>58</v>
      </c>
      <c r="B622" t="s">
        <v>29</v>
      </c>
      <c r="C622" t="s">
        <v>29</v>
      </c>
      <c r="D622" t="s">
        <v>49</v>
      </c>
      <c r="E622">
        <v>20</v>
      </c>
      <c r="F622">
        <v>40</v>
      </c>
      <c r="G622" t="s">
        <v>69</v>
      </c>
      <c r="H622" t="s">
        <v>44</v>
      </c>
      <c r="I622" s="24">
        <v>46067</v>
      </c>
      <c r="J622" t="s">
        <v>118</v>
      </c>
      <c r="K622" t="s">
        <v>117</v>
      </c>
      <c r="L622" t="s">
        <v>118</v>
      </c>
      <c r="M622">
        <v>8</v>
      </c>
      <c r="N622">
        <v>240</v>
      </c>
      <c r="O622">
        <v>5.7142857142857144</v>
      </c>
      <c r="P622">
        <v>1</v>
      </c>
    </row>
    <row r="623" spans="1:16" x14ac:dyDescent="0.45">
      <c r="A623" t="s">
        <v>59</v>
      </c>
      <c r="B623" t="s">
        <v>29</v>
      </c>
      <c r="C623" t="s">
        <v>29</v>
      </c>
      <c r="D623" t="s">
        <v>60</v>
      </c>
      <c r="E623">
        <v>15</v>
      </c>
      <c r="F623">
        <v>20</v>
      </c>
      <c r="G623" t="s">
        <v>69</v>
      </c>
      <c r="H623" t="s">
        <v>41</v>
      </c>
      <c r="I623" s="24">
        <v>46067</v>
      </c>
      <c r="J623" t="s">
        <v>118</v>
      </c>
      <c r="K623" t="s">
        <v>117</v>
      </c>
      <c r="L623" t="s">
        <v>118</v>
      </c>
      <c r="M623">
        <v>0</v>
      </c>
      <c r="N623">
        <v>0</v>
      </c>
      <c r="O623">
        <v>2.8571428571428572</v>
      </c>
      <c r="P623">
        <v>0</v>
      </c>
    </row>
    <row r="624" spans="1:16" x14ac:dyDescent="0.45">
      <c r="A624" t="s">
        <v>61</v>
      </c>
      <c r="B624" t="s">
        <v>29</v>
      </c>
      <c r="C624" t="s">
        <v>29</v>
      </c>
      <c r="D624" t="s">
        <v>60</v>
      </c>
      <c r="E624">
        <v>15</v>
      </c>
      <c r="F624">
        <v>20</v>
      </c>
      <c r="G624" t="s">
        <v>69</v>
      </c>
      <c r="H624" t="s">
        <v>41</v>
      </c>
      <c r="I624" s="24">
        <v>46067</v>
      </c>
      <c r="J624" t="s">
        <v>118</v>
      </c>
      <c r="K624" t="s">
        <v>117</v>
      </c>
      <c r="L624" t="s">
        <v>118</v>
      </c>
      <c r="M624">
        <v>0</v>
      </c>
      <c r="N624">
        <v>0</v>
      </c>
      <c r="O624">
        <v>2.8571428571428572</v>
      </c>
      <c r="P624">
        <v>0</v>
      </c>
    </row>
    <row r="625" spans="1:16" x14ac:dyDescent="0.45">
      <c r="A625" t="s">
        <v>62</v>
      </c>
      <c r="B625" t="s">
        <v>29</v>
      </c>
      <c r="C625" t="s">
        <v>29</v>
      </c>
      <c r="D625" t="s">
        <v>60</v>
      </c>
      <c r="E625">
        <v>15</v>
      </c>
      <c r="F625">
        <v>20</v>
      </c>
      <c r="G625" t="s">
        <v>69</v>
      </c>
      <c r="H625" t="s">
        <v>40</v>
      </c>
      <c r="I625" s="24">
        <v>46067</v>
      </c>
      <c r="J625" t="s">
        <v>118</v>
      </c>
      <c r="K625" t="s">
        <v>117</v>
      </c>
      <c r="L625" t="s">
        <v>118</v>
      </c>
      <c r="M625">
        <v>5</v>
      </c>
      <c r="N625">
        <v>112.5</v>
      </c>
      <c r="O625">
        <v>2.8571428571428572</v>
      </c>
      <c r="P625">
        <v>1</v>
      </c>
    </row>
    <row r="626" spans="1:16" x14ac:dyDescent="0.45">
      <c r="A626" t="s">
        <v>48</v>
      </c>
      <c r="B626" t="s">
        <v>30</v>
      </c>
      <c r="C626" t="s">
        <v>28</v>
      </c>
      <c r="D626" t="s">
        <v>49</v>
      </c>
      <c r="E626">
        <v>30</v>
      </c>
      <c r="F626">
        <v>40</v>
      </c>
      <c r="G626" t="s">
        <v>70</v>
      </c>
      <c r="H626" t="s">
        <v>41</v>
      </c>
      <c r="I626" s="24">
        <v>46068</v>
      </c>
      <c r="J626" t="s">
        <v>118</v>
      </c>
      <c r="K626" t="s">
        <v>117</v>
      </c>
      <c r="L626" t="s">
        <v>118</v>
      </c>
      <c r="M626">
        <v>0</v>
      </c>
      <c r="N626">
        <v>0</v>
      </c>
      <c r="O626">
        <v>5.7142857142857144</v>
      </c>
      <c r="P626">
        <v>0</v>
      </c>
    </row>
    <row r="627" spans="1:16" x14ac:dyDescent="0.45">
      <c r="A627" t="s">
        <v>50</v>
      </c>
      <c r="B627" t="s">
        <v>27</v>
      </c>
      <c r="C627" t="s">
        <v>28</v>
      </c>
      <c r="D627" t="s">
        <v>49</v>
      </c>
      <c r="E627">
        <v>25</v>
      </c>
      <c r="F627">
        <v>40</v>
      </c>
      <c r="G627" t="s">
        <v>70</v>
      </c>
      <c r="H627" t="s">
        <v>37</v>
      </c>
      <c r="I627" s="24">
        <v>46068</v>
      </c>
      <c r="J627" t="s">
        <v>118</v>
      </c>
      <c r="K627" t="s">
        <v>117</v>
      </c>
      <c r="L627" t="s">
        <v>118</v>
      </c>
      <c r="M627">
        <v>7</v>
      </c>
      <c r="N627">
        <v>262.5</v>
      </c>
      <c r="O627">
        <v>5.7142857142857144</v>
      </c>
      <c r="P627">
        <v>1</v>
      </c>
    </row>
    <row r="628" spans="1:16" x14ac:dyDescent="0.45">
      <c r="A628" t="s">
        <v>51</v>
      </c>
      <c r="B628" t="s">
        <v>27</v>
      </c>
      <c r="C628" t="s">
        <v>28</v>
      </c>
      <c r="D628" t="s">
        <v>49</v>
      </c>
      <c r="E628">
        <v>25</v>
      </c>
      <c r="F628">
        <v>40</v>
      </c>
      <c r="G628" t="s">
        <v>70</v>
      </c>
      <c r="H628" t="s">
        <v>35</v>
      </c>
      <c r="I628" s="24">
        <v>46068</v>
      </c>
      <c r="J628" t="s">
        <v>118</v>
      </c>
      <c r="K628" t="s">
        <v>117</v>
      </c>
      <c r="L628" t="s">
        <v>118</v>
      </c>
      <c r="M628">
        <v>7</v>
      </c>
      <c r="N628">
        <v>262.5</v>
      </c>
      <c r="O628">
        <v>5.7142857142857144</v>
      </c>
      <c r="P628">
        <v>1</v>
      </c>
    </row>
    <row r="629" spans="1:16" x14ac:dyDescent="0.45">
      <c r="A629" t="s">
        <v>52</v>
      </c>
      <c r="B629" t="s">
        <v>26</v>
      </c>
      <c r="C629" t="s">
        <v>26</v>
      </c>
      <c r="D629" t="s">
        <v>49</v>
      </c>
      <c r="E629">
        <v>35</v>
      </c>
      <c r="F629">
        <v>40</v>
      </c>
      <c r="G629" t="s">
        <v>70</v>
      </c>
      <c r="H629" t="s">
        <v>41</v>
      </c>
      <c r="I629" s="24">
        <v>46068</v>
      </c>
      <c r="J629" t="s">
        <v>118</v>
      </c>
      <c r="K629" t="s">
        <v>117</v>
      </c>
      <c r="L629" t="s">
        <v>118</v>
      </c>
      <c r="M629">
        <v>0</v>
      </c>
      <c r="N629">
        <v>0</v>
      </c>
      <c r="O629">
        <v>5.7142857142857144</v>
      </c>
      <c r="P629">
        <v>0</v>
      </c>
    </row>
    <row r="630" spans="1:16" x14ac:dyDescent="0.45">
      <c r="A630" t="s">
        <v>53</v>
      </c>
      <c r="B630" t="s">
        <v>26</v>
      </c>
      <c r="C630" t="s">
        <v>26</v>
      </c>
      <c r="D630" t="s">
        <v>49</v>
      </c>
      <c r="E630">
        <v>35</v>
      </c>
      <c r="F630">
        <v>40</v>
      </c>
      <c r="G630" t="s">
        <v>70</v>
      </c>
      <c r="H630" t="s">
        <v>42</v>
      </c>
      <c r="I630" s="24">
        <v>46068</v>
      </c>
      <c r="J630" t="s">
        <v>118</v>
      </c>
      <c r="K630" t="s">
        <v>117</v>
      </c>
      <c r="L630" t="s">
        <v>118</v>
      </c>
      <c r="M630">
        <v>7.9999999999999982</v>
      </c>
      <c r="N630">
        <v>419.99999999999989</v>
      </c>
      <c r="O630">
        <v>5.7142857142857144</v>
      </c>
      <c r="P630">
        <v>1</v>
      </c>
    </row>
    <row r="631" spans="1:16" x14ac:dyDescent="0.45">
      <c r="A631" t="s">
        <v>54</v>
      </c>
      <c r="B631" t="s">
        <v>25</v>
      </c>
      <c r="C631" t="s">
        <v>26</v>
      </c>
      <c r="D631" t="s">
        <v>49</v>
      </c>
      <c r="E631">
        <v>28</v>
      </c>
      <c r="F631">
        <v>40</v>
      </c>
      <c r="G631" t="s">
        <v>70</v>
      </c>
      <c r="H631" t="s">
        <v>44</v>
      </c>
      <c r="I631" s="24">
        <v>46068</v>
      </c>
      <c r="J631" t="s">
        <v>118</v>
      </c>
      <c r="K631" t="s">
        <v>117</v>
      </c>
      <c r="L631" t="s">
        <v>118</v>
      </c>
      <c r="M631">
        <v>8</v>
      </c>
      <c r="N631">
        <v>336</v>
      </c>
      <c r="O631">
        <v>5.7142857142857144</v>
      </c>
      <c r="P631">
        <v>1</v>
      </c>
    </row>
    <row r="632" spans="1:16" x14ac:dyDescent="0.45">
      <c r="A632" t="s">
        <v>55</v>
      </c>
      <c r="B632" t="s">
        <v>25</v>
      </c>
      <c r="C632" t="s">
        <v>26</v>
      </c>
      <c r="D632" t="s">
        <v>49</v>
      </c>
      <c r="E632">
        <v>28</v>
      </c>
      <c r="F632">
        <v>40</v>
      </c>
      <c r="G632" t="s">
        <v>70</v>
      </c>
      <c r="H632" t="s">
        <v>41</v>
      </c>
      <c r="I632" s="24">
        <v>46068</v>
      </c>
      <c r="J632" t="s">
        <v>118</v>
      </c>
      <c r="K632" t="s">
        <v>117</v>
      </c>
      <c r="L632" t="s">
        <v>118</v>
      </c>
      <c r="M632">
        <v>0</v>
      </c>
      <c r="N632">
        <v>0</v>
      </c>
      <c r="O632">
        <v>5.7142857142857144</v>
      </c>
      <c r="P632">
        <v>0</v>
      </c>
    </row>
    <row r="633" spans="1:16" x14ac:dyDescent="0.45">
      <c r="A633" t="s">
        <v>56</v>
      </c>
      <c r="B633" t="s">
        <v>29</v>
      </c>
      <c r="C633" t="s">
        <v>29</v>
      </c>
      <c r="D633" t="s">
        <v>49</v>
      </c>
      <c r="E633">
        <v>20</v>
      </c>
      <c r="F633">
        <v>40</v>
      </c>
      <c r="G633" t="s">
        <v>70</v>
      </c>
      <c r="H633" t="s">
        <v>45</v>
      </c>
      <c r="I633" s="24">
        <v>46068</v>
      </c>
      <c r="J633" t="s">
        <v>118</v>
      </c>
      <c r="K633" t="s">
        <v>117</v>
      </c>
      <c r="L633" t="s">
        <v>118</v>
      </c>
      <c r="M633">
        <v>7.9999999999999982</v>
      </c>
      <c r="N633">
        <v>239.99999999999994</v>
      </c>
      <c r="O633">
        <v>5.7142857142857144</v>
      </c>
      <c r="P633">
        <v>1</v>
      </c>
    </row>
    <row r="634" spans="1:16" x14ac:dyDescent="0.45">
      <c r="A634" t="s">
        <v>57</v>
      </c>
      <c r="B634" t="s">
        <v>29</v>
      </c>
      <c r="C634" t="s">
        <v>29</v>
      </c>
      <c r="D634" t="s">
        <v>49</v>
      </c>
      <c r="E634">
        <v>20</v>
      </c>
      <c r="F634">
        <v>40</v>
      </c>
      <c r="G634" t="s">
        <v>70</v>
      </c>
      <c r="H634" t="s">
        <v>41</v>
      </c>
      <c r="I634" s="24">
        <v>46068</v>
      </c>
      <c r="J634" t="s">
        <v>118</v>
      </c>
      <c r="K634" t="s">
        <v>117</v>
      </c>
      <c r="L634" t="s">
        <v>118</v>
      </c>
      <c r="M634">
        <v>0</v>
      </c>
      <c r="N634">
        <v>0</v>
      </c>
      <c r="O634">
        <v>5.7142857142857144</v>
      </c>
      <c r="P634">
        <v>0</v>
      </c>
    </row>
    <row r="635" spans="1:16" x14ac:dyDescent="0.45">
      <c r="A635" t="s">
        <v>58</v>
      </c>
      <c r="B635" t="s">
        <v>29</v>
      </c>
      <c r="C635" t="s">
        <v>29</v>
      </c>
      <c r="D635" t="s">
        <v>49</v>
      </c>
      <c r="E635">
        <v>20</v>
      </c>
      <c r="F635">
        <v>40</v>
      </c>
      <c r="G635" t="s">
        <v>70</v>
      </c>
      <c r="H635" t="s">
        <v>44</v>
      </c>
      <c r="I635" s="24">
        <v>46068</v>
      </c>
      <c r="J635" t="s">
        <v>118</v>
      </c>
      <c r="K635" t="s">
        <v>117</v>
      </c>
      <c r="L635" t="s">
        <v>118</v>
      </c>
      <c r="M635">
        <v>8</v>
      </c>
      <c r="N635">
        <v>240</v>
      </c>
      <c r="O635">
        <v>5.7142857142857144</v>
      </c>
      <c r="P635">
        <v>1</v>
      </c>
    </row>
    <row r="636" spans="1:16" x14ac:dyDescent="0.45">
      <c r="A636" t="s">
        <v>59</v>
      </c>
      <c r="B636" t="s">
        <v>29</v>
      </c>
      <c r="C636" t="s">
        <v>29</v>
      </c>
      <c r="D636" t="s">
        <v>60</v>
      </c>
      <c r="E636">
        <v>15</v>
      </c>
      <c r="F636">
        <v>20</v>
      </c>
      <c r="G636" t="s">
        <v>70</v>
      </c>
      <c r="H636" t="s">
        <v>41</v>
      </c>
      <c r="I636" s="24">
        <v>46068</v>
      </c>
      <c r="J636" t="s">
        <v>118</v>
      </c>
      <c r="K636" t="s">
        <v>117</v>
      </c>
      <c r="L636" t="s">
        <v>118</v>
      </c>
      <c r="M636">
        <v>0</v>
      </c>
      <c r="N636">
        <v>0</v>
      </c>
      <c r="O636">
        <v>2.8571428571428572</v>
      </c>
      <c r="P636">
        <v>0</v>
      </c>
    </row>
    <row r="637" spans="1:16" x14ac:dyDescent="0.45">
      <c r="A637" t="s">
        <v>61</v>
      </c>
      <c r="B637" t="s">
        <v>29</v>
      </c>
      <c r="C637" t="s">
        <v>29</v>
      </c>
      <c r="D637" t="s">
        <v>60</v>
      </c>
      <c r="E637">
        <v>15</v>
      </c>
      <c r="F637">
        <v>20</v>
      </c>
      <c r="G637" t="s">
        <v>70</v>
      </c>
      <c r="H637" t="s">
        <v>41</v>
      </c>
      <c r="I637" s="24">
        <v>46068</v>
      </c>
      <c r="J637" t="s">
        <v>118</v>
      </c>
      <c r="K637" t="s">
        <v>117</v>
      </c>
      <c r="L637" t="s">
        <v>118</v>
      </c>
      <c r="M637">
        <v>0</v>
      </c>
      <c r="N637">
        <v>0</v>
      </c>
      <c r="O637">
        <v>2.8571428571428572</v>
      </c>
      <c r="P637">
        <v>0</v>
      </c>
    </row>
    <row r="638" spans="1:16" x14ac:dyDescent="0.45">
      <c r="A638" t="s">
        <v>62</v>
      </c>
      <c r="B638" t="s">
        <v>29</v>
      </c>
      <c r="C638" t="s">
        <v>29</v>
      </c>
      <c r="D638" t="s">
        <v>60</v>
      </c>
      <c r="E638">
        <v>15</v>
      </c>
      <c r="F638">
        <v>20</v>
      </c>
      <c r="G638" t="s">
        <v>70</v>
      </c>
      <c r="H638" t="s">
        <v>46</v>
      </c>
      <c r="I638" s="24">
        <v>46068</v>
      </c>
      <c r="J638" t="s">
        <v>118</v>
      </c>
      <c r="K638" t="s">
        <v>117</v>
      </c>
      <c r="L638" t="s">
        <v>118</v>
      </c>
      <c r="M638">
        <v>4.9999999999999982</v>
      </c>
      <c r="N638">
        <v>112.49999999999996</v>
      </c>
      <c r="O638">
        <v>2.8571428571428572</v>
      </c>
      <c r="P638">
        <v>1</v>
      </c>
    </row>
    <row r="639" spans="1:16" x14ac:dyDescent="0.45">
      <c r="A639" t="s">
        <v>48</v>
      </c>
      <c r="B639" t="s">
        <v>30</v>
      </c>
      <c r="C639" t="s">
        <v>28</v>
      </c>
      <c r="D639" t="s">
        <v>49</v>
      </c>
      <c r="E639">
        <v>30</v>
      </c>
      <c r="F639">
        <v>40</v>
      </c>
      <c r="G639" t="s">
        <v>64</v>
      </c>
      <c r="H639" t="s">
        <v>35</v>
      </c>
      <c r="I639" s="24">
        <v>46069</v>
      </c>
      <c r="J639" t="s">
        <v>117</v>
      </c>
      <c r="K639" t="s">
        <v>117</v>
      </c>
      <c r="L639" t="s">
        <v>117</v>
      </c>
      <c r="M639">
        <v>7</v>
      </c>
      <c r="N639">
        <v>210</v>
      </c>
      <c r="O639">
        <v>5.7142857142857144</v>
      </c>
      <c r="P639">
        <v>0</v>
      </c>
    </row>
    <row r="640" spans="1:16" x14ac:dyDescent="0.45">
      <c r="A640" t="s">
        <v>50</v>
      </c>
      <c r="B640" t="s">
        <v>27</v>
      </c>
      <c r="C640" t="s">
        <v>28</v>
      </c>
      <c r="D640" t="s">
        <v>49</v>
      </c>
      <c r="E640">
        <v>25</v>
      </c>
      <c r="F640">
        <v>40</v>
      </c>
      <c r="G640" t="s">
        <v>64</v>
      </c>
      <c r="H640" t="s">
        <v>37</v>
      </c>
      <c r="I640" s="24">
        <v>46069</v>
      </c>
      <c r="J640" t="s">
        <v>117</v>
      </c>
      <c r="K640" t="s">
        <v>117</v>
      </c>
      <c r="L640" t="s">
        <v>117</v>
      </c>
      <c r="M640">
        <v>7</v>
      </c>
      <c r="N640">
        <v>175</v>
      </c>
      <c r="O640">
        <v>5.7142857142857144</v>
      </c>
      <c r="P640">
        <v>0</v>
      </c>
    </row>
    <row r="641" spans="1:16" x14ac:dyDescent="0.45">
      <c r="A641" t="s">
        <v>51</v>
      </c>
      <c r="B641" t="s">
        <v>27</v>
      </c>
      <c r="C641" t="s">
        <v>28</v>
      </c>
      <c r="D641" t="s">
        <v>49</v>
      </c>
      <c r="E641">
        <v>25</v>
      </c>
      <c r="F641">
        <v>40</v>
      </c>
      <c r="G641" t="s">
        <v>64</v>
      </c>
      <c r="H641" t="s">
        <v>41</v>
      </c>
      <c r="I641" s="24">
        <v>46069</v>
      </c>
      <c r="J641" t="s">
        <v>117</v>
      </c>
      <c r="K641" t="s">
        <v>117</v>
      </c>
      <c r="L641" t="s">
        <v>117</v>
      </c>
      <c r="M641">
        <v>0</v>
      </c>
      <c r="N641">
        <v>0</v>
      </c>
      <c r="O641">
        <v>5.7142857142857144</v>
      </c>
      <c r="P641">
        <v>0</v>
      </c>
    </row>
    <row r="642" spans="1:16" x14ac:dyDescent="0.45">
      <c r="A642" t="s">
        <v>52</v>
      </c>
      <c r="B642" t="s">
        <v>26</v>
      </c>
      <c r="C642" t="s">
        <v>26</v>
      </c>
      <c r="D642" t="s">
        <v>49</v>
      </c>
      <c r="E642">
        <v>35</v>
      </c>
      <c r="F642">
        <v>40</v>
      </c>
      <c r="G642" t="s">
        <v>64</v>
      </c>
      <c r="H642" t="s">
        <v>42</v>
      </c>
      <c r="I642" s="24">
        <v>46069</v>
      </c>
      <c r="J642" t="s">
        <v>117</v>
      </c>
      <c r="K642" t="s">
        <v>117</v>
      </c>
      <c r="L642" t="s">
        <v>117</v>
      </c>
      <c r="M642">
        <v>7.9999999999999982</v>
      </c>
      <c r="N642">
        <v>279.99999999999994</v>
      </c>
      <c r="O642">
        <v>5.7142857142857144</v>
      </c>
      <c r="P642">
        <v>0</v>
      </c>
    </row>
    <row r="643" spans="1:16" x14ac:dyDescent="0.45">
      <c r="A643" t="s">
        <v>53</v>
      </c>
      <c r="B643" t="s">
        <v>26</v>
      </c>
      <c r="C643" t="s">
        <v>26</v>
      </c>
      <c r="D643" t="s">
        <v>49</v>
      </c>
      <c r="E643">
        <v>35</v>
      </c>
      <c r="F643">
        <v>40</v>
      </c>
      <c r="G643" t="s">
        <v>64</v>
      </c>
      <c r="H643" t="s">
        <v>44</v>
      </c>
      <c r="I643" s="24">
        <v>46069</v>
      </c>
      <c r="J643" t="s">
        <v>117</v>
      </c>
      <c r="K643" t="s">
        <v>117</v>
      </c>
      <c r="L643" t="s">
        <v>117</v>
      </c>
      <c r="M643">
        <v>8</v>
      </c>
      <c r="N643">
        <v>280</v>
      </c>
      <c r="O643">
        <v>5.7142857142857144</v>
      </c>
      <c r="P643">
        <v>0</v>
      </c>
    </row>
    <row r="644" spans="1:16" x14ac:dyDescent="0.45">
      <c r="A644" t="s">
        <v>54</v>
      </c>
      <c r="B644" t="s">
        <v>25</v>
      </c>
      <c r="C644" t="s">
        <v>26</v>
      </c>
      <c r="D644" t="s">
        <v>49</v>
      </c>
      <c r="E644">
        <v>28</v>
      </c>
      <c r="F644">
        <v>40</v>
      </c>
      <c r="G644" t="s">
        <v>64</v>
      </c>
      <c r="H644" t="s">
        <v>41</v>
      </c>
      <c r="I644" s="24">
        <v>46069</v>
      </c>
      <c r="J644" t="s">
        <v>117</v>
      </c>
      <c r="K644" t="s">
        <v>117</v>
      </c>
      <c r="L644" t="s">
        <v>117</v>
      </c>
      <c r="M644">
        <v>0</v>
      </c>
      <c r="N644">
        <v>0</v>
      </c>
      <c r="O644">
        <v>5.7142857142857144</v>
      </c>
      <c r="P644">
        <v>0</v>
      </c>
    </row>
    <row r="645" spans="1:16" x14ac:dyDescent="0.45">
      <c r="A645" t="s">
        <v>55</v>
      </c>
      <c r="B645" t="s">
        <v>25</v>
      </c>
      <c r="C645" t="s">
        <v>26</v>
      </c>
      <c r="D645" t="s">
        <v>49</v>
      </c>
      <c r="E645">
        <v>28</v>
      </c>
      <c r="F645">
        <v>40</v>
      </c>
      <c r="G645" t="s">
        <v>64</v>
      </c>
      <c r="H645" t="s">
        <v>44</v>
      </c>
      <c r="I645" s="24">
        <v>46069</v>
      </c>
      <c r="J645" t="s">
        <v>117</v>
      </c>
      <c r="K645" t="s">
        <v>117</v>
      </c>
      <c r="L645" t="s">
        <v>117</v>
      </c>
      <c r="M645">
        <v>8</v>
      </c>
      <c r="N645">
        <v>224</v>
      </c>
      <c r="O645">
        <v>5.7142857142857144</v>
      </c>
      <c r="P645">
        <v>0</v>
      </c>
    </row>
    <row r="646" spans="1:16" x14ac:dyDescent="0.45">
      <c r="A646" t="s">
        <v>56</v>
      </c>
      <c r="B646" t="s">
        <v>29</v>
      </c>
      <c r="C646" t="s">
        <v>29</v>
      </c>
      <c r="D646" t="s">
        <v>49</v>
      </c>
      <c r="E646">
        <v>20</v>
      </c>
      <c r="F646">
        <v>40</v>
      </c>
      <c r="G646" t="s">
        <v>64</v>
      </c>
      <c r="H646" t="s">
        <v>45</v>
      </c>
      <c r="I646" s="24">
        <v>46069</v>
      </c>
      <c r="J646" t="s">
        <v>117</v>
      </c>
      <c r="K646" t="s">
        <v>117</v>
      </c>
      <c r="L646" t="s">
        <v>117</v>
      </c>
      <c r="M646">
        <v>7.9999999999999982</v>
      </c>
      <c r="N646">
        <v>159.99999999999997</v>
      </c>
      <c r="O646">
        <v>5.7142857142857144</v>
      </c>
      <c r="P646">
        <v>0</v>
      </c>
    </row>
    <row r="647" spans="1:16" x14ac:dyDescent="0.45">
      <c r="A647" t="s">
        <v>57</v>
      </c>
      <c r="B647" t="s">
        <v>29</v>
      </c>
      <c r="C647" t="s">
        <v>29</v>
      </c>
      <c r="D647" t="s">
        <v>49</v>
      </c>
      <c r="E647">
        <v>20</v>
      </c>
      <c r="F647">
        <v>40</v>
      </c>
      <c r="G647" t="s">
        <v>64</v>
      </c>
      <c r="H647" t="s">
        <v>44</v>
      </c>
      <c r="I647" s="24">
        <v>46069</v>
      </c>
      <c r="J647" t="s">
        <v>117</v>
      </c>
      <c r="K647" t="s">
        <v>117</v>
      </c>
      <c r="L647" t="s">
        <v>117</v>
      </c>
      <c r="M647">
        <v>8</v>
      </c>
      <c r="N647">
        <v>160</v>
      </c>
      <c r="O647">
        <v>5.7142857142857144</v>
      </c>
      <c r="P647">
        <v>0</v>
      </c>
    </row>
    <row r="648" spans="1:16" x14ac:dyDescent="0.45">
      <c r="A648" t="s">
        <v>58</v>
      </c>
      <c r="B648" t="s">
        <v>29</v>
      </c>
      <c r="C648" t="s">
        <v>29</v>
      </c>
      <c r="D648" t="s">
        <v>49</v>
      </c>
      <c r="E648">
        <v>20</v>
      </c>
      <c r="F648">
        <v>40</v>
      </c>
      <c r="G648" t="s">
        <v>64</v>
      </c>
      <c r="H648" t="s">
        <v>41</v>
      </c>
      <c r="I648" s="24">
        <v>46069</v>
      </c>
      <c r="J648" t="s">
        <v>117</v>
      </c>
      <c r="K648" t="s">
        <v>117</v>
      </c>
      <c r="L648" t="s">
        <v>117</v>
      </c>
      <c r="M648">
        <v>0</v>
      </c>
      <c r="N648">
        <v>0</v>
      </c>
      <c r="O648">
        <v>5.7142857142857144</v>
      </c>
      <c r="P648">
        <v>0</v>
      </c>
    </row>
    <row r="649" spans="1:16" x14ac:dyDescent="0.45">
      <c r="A649" t="s">
        <v>59</v>
      </c>
      <c r="B649" t="s">
        <v>29</v>
      </c>
      <c r="C649" t="s">
        <v>29</v>
      </c>
      <c r="D649" t="s">
        <v>60</v>
      </c>
      <c r="E649">
        <v>15</v>
      </c>
      <c r="F649">
        <v>20</v>
      </c>
      <c r="G649" t="s">
        <v>64</v>
      </c>
      <c r="H649" t="s">
        <v>41</v>
      </c>
      <c r="I649" s="24">
        <v>46069</v>
      </c>
      <c r="J649" t="s">
        <v>117</v>
      </c>
      <c r="K649" t="s">
        <v>117</v>
      </c>
      <c r="L649" t="s">
        <v>117</v>
      </c>
      <c r="M649">
        <v>0</v>
      </c>
      <c r="N649">
        <v>0</v>
      </c>
      <c r="O649">
        <v>2.8571428571428572</v>
      </c>
      <c r="P649">
        <v>0</v>
      </c>
    </row>
    <row r="650" spans="1:16" x14ac:dyDescent="0.45">
      <c r="A650" t="s">
        <v>61</v>
      </c>
      <c r="B650" t="s">
        <v>29</v>
      </c>
      <c r="C650" t="s">
        <v>29</v>
      </c>
      <c r="D650" t="s">
        <v>60</v>
      </c>
      <c r="E650">
        <v>15</v>
      </c>
      <c r="F650">
        <v>20</v>
      </c>
      <c r="G650" t="s">
        <v>64</v>
      </c>
      <c r="H650" t="s">
        <v>46</v>
      </c>
      <c r="I650" s="24">
        <v>46069</v>
      </c>
      <c r="J650" t="s">
        <v>117</v>
      </c>
      <c r="K650" t="s">
        <v>117</v>
      </c>
      <c r="L650" t="s">
        <v>117</v>
      </c>
      <c r="M650">
        <v>4.9999999999999982</v>
      </c>
      <c r="N650">
        <v>74.999999999999972</v>
      </c>
      <c r="O650">
        <v>2.8571428571428572</v>
      </c>
      <c r="P650">
        <v>0</v>
      </c>
    </row>
    <row r="651" spans="1:16" x14ac:dyDescent="0.45">
      <c r="A651" t="s">
        <v>62</v>
      </c>
      <c r="B651" t="s">
        <v>29</v>
      </c>
      <c r="C651" t="s">
        <v>29</v>
      </c>
      <c r="D651" t="s">
        <v>60</v>
      </c>
      <c r="E651">
        <v>15</v>
      </c>
      <c r="F651">
        <v>20</v>
      </c>
      <c r="G651" t="s">
        <v>64</v>
      </c>
      <c r="H651" t="s">
        <v>40</v>
      </c>
      <c r="I651" s="24">
        <v>46069</v>
      </c>
      <c r="J651" t="s">
        <v>117</v>
      </c>
      <c r="K651" t="s">
        <v>117</v>
      </c>
      <c r="L651" t="s">
        <v>117</v>
      </c>
      <c r="M651">
        <v>5</v>
      </c>
      <c r="N651">
        <v>75</v>
      </c>
      <c r="O651">
        <v>2.8571428571428572</v>
      </c>
      <c r="P651">
        <v>0</v>
      </c>
    </row>
    <row r="652" spans="1:16" x14ac:dyDescent="0.45">
      <c r="A652" t="s">
        <v>48</v>
      </c>
      <c r="B652" t="s">
        <v>30</v>
      </c>
      <c r="C652" t="s">
        <v>28</v>
      </c>
      <c r="D652" t="s">
        <v>49</v>
      </c>
      <c r="E652">
        <v>30</v>
      </c>
      <c r="F652">
        <v>40</v>
      </c>
      <c r="G652" t="s">
        <v>65</v>
      </c>
      <c r="H652" t="s">
        <v>35</v>
      </c>
      <c r="I652" s="24">
        <v>46070</v>
      </c>
      <c r="J652" t="s">
        <v>117</v>
      </c>
      <c r="K652" t="s">
        <v>117</v>
      </c>
      <c r="L652" t="s">
        <v>117</v>
      </c>
      <c r="M652">
        <v>7</v>
      </c>
      <c r="N652">
        <v>210</v>
      </c>
      <c r="O652">
        <v>5.7142857142857144</v>
      </c>
      <c r="P652">
        <v>0</v>
      </c>
    </row>
    <row r="653" spans="1:16" x14ac:dyDescent="0.45">
      <c r="A653" t="s">
        <v>50</v>
      </c>
      <c r="B653" t="s">
        <v>27</v>
      </c>
      <c r="C653" t="s">
        <v>28</v>
      </c>
      <c r="D653" t="s">
        <v>49</v>
      </c>
      <c r="E653">
        <v>25</v>
      </c>
      <c r="F653">
        <v>40</v>
      </c>
      <c r="G653" t="s">
        <v>65</v>
      </c>
      <c r="H653" t="s">
        <v>37</v>
      </c>
      <c r="I653" s="24">
        <v>46070</v>
      </c>
      <c r="J653" t="s">
        <v>117</v>
      </c>
      <c r="K653" t="s">
        <v>117</v>
      </c>
      <c r="L653" t="s">
        <v>117</v>
      </c>
      <c r="M653">
        <v>7</v>
      </c>
      <c r="N653">
        <v>175</v>
      </c>
      <c r="O653">
        <v>5.7142857142857144</v>
      </c>
      <c r="P653">
        <v>0</v>
      </c>
    </row>
    <row r="654" spans="1:16" x14ac:dyDescent="0.45">
      <c r="A654" t="s">
        <v>51</v>
      </c>
      <c r="B654" t="s">
        <v>27</v>
      </c>
      <c r="C654" t="s">
        <v>28</v>
      </c>
      <c r="D654" t="s">
        <v>49</v>
      </c>
      <c r="E654">
        <v>25</v>
      </c>
      <c r="F654">
        <v>40</v>
      </c>
      <c r="G654" t="s">
        <v>65</v>
      </c>
      <c r="H654" t="s">
        <v>41</v>
      </c>
      <c r="I654" s="24">
        <v>46070</v>
      </c>
      <c r="J654" t="s">
        <v>117</v>
      </c>
      <c r="K654" t="s">
        <v>117</v>
      </c>
      <c r="L654" t="s">
        <v>117</v>
      </c>
      <c r="M654">
        <v>0</v>
      </c>
      <c r="N654">
        <v>0</v>
      </c>
      <c r="O654">
        <v>5.7142857142857144</v>
      </c>
      <c r="P654">
        <v>0</v>
      </c>
    </row>
    <row r="655" spans="1:16" x14ac:dyDescent="0.45">
      <c r="A655" t="s">
        <v>52</v>
      </c>
      <c r="B655" t="s">
        <v>26</v>
      </c>
      <c r="C655" t="s">
        <v>26</v>
      </c>
      <c r="D655" t="s">
        <v>49</v>
      </c>
      <c r="E655">
        <v>35</v>
      </c>
      <c r="F655">
        <v>40</v>
      </c>
      <c r="G655" t="s">
        <v>65</v>
      </c>
      <c r="H655" t="s">
        <v>42</v>
      </c>
      <c r="I655" s="24">
        <v>46070</v>
      </c>
      <c r="J655" t="s">
        <v>117</v>
      </c>
      <c r="K655" t="s">
        <v>117</v>
      </c>
      <c r="L655" t="s">
        <v>117</v>
      </c>
      <c r="M655">
        <v>7.9999999999999982</v>
      </c>
      <c r="N655">
        <v>279.99999999999994</v>
      </c>
      <c r="O655">
        <v>5.7142857142857144</v>
      </c>
      <c r="P655">
        <v>0</v>
      </c>
    </row>
    <row r="656" spans="1:16" x14ac:dyDescent="0.45">
      <c r="A656" t="s">
        <v>53</v>
      </c>
      <c r="B656" t="s">
        <v>26</v>
      </c>
      <c r="C656" t="s">
        <v>26</v>
      </c>
      <c r="D656" t="s">
        <v>49</v>
      </c>
      <c r="E656">
        <v>35</v>
      </c>
      <c r="F656">
        <v>40</v>
      </c>
      <c r="G656" t="s">
        <v>65</v>
      </c>
      <c r="H656" t="s">
        <v>44</v>
      </c>
      <c r="I656" s="24">
        <v>46070</v>
      </c>
      <c r="J656" t="s">
        <v>117</v>
      </c>
      <c r="K656" t="s">
        <v>117</v>
      </c>
      <c r="L656" t="s">
        <v>117</v>
      </c>
      <c r="M656">
        <v>8</v>
      </c>
      <c r="N656">
        <v>280</v>
      </c>
      <c r="O656">
        <v>5.7142857142857144</v>
      </c>
      <c r="P656">
        <v>0</v>
      </c>
    </row>
    <row r="657" spans="1:16" x14ac:dyDescent="0.45">
      <c r="A657" t="s">
        <v>54</v>
      </c>
      <c r="B657" t="s">
        <v>25</v>
      </c>
      <c r="C657" t="s">
        <v>26</v>
      </c>
      <c r="D657" t="s">
        <v>49</v>
      </c>
      <c r="E657">
        <v>28</v>
      </c>
      <c r="F657">
        <v>40</v>
      </c>
      <c r="G657" t="s">
        <v>65</v>
      </c>
      <c r="H657" t="s">
        <v>41</v>
      </c>
      <c r="I657" s="24">
        <v>46070</v>
      </c>
      <c r="J657" t="s">
        <v>117</v>
      </c>
      <c r="K657" t="s">
        <v>117</v>
      </c>
      <c r="L657" t="s">
        <v>117</v>
      </c>
      <c r="M657">
        <v>0</v>
      </c>
      <c r="N657">
        <v>0</v>
      </c>
      <c r="O657">
        <v>5.7142857142857144</v>
      </c>
      <c r="P657">
        <v>0</v>
      </c>
    </row>
    <row r="658" spans="1:16" x14ac:dyDescent="0.45">
      <c r="A658" t="s">
        <v>55</v>
      </c>
      <c r="B658" t="s">
        <v>25</v>
      </c>
      <c r="C658" t="s">
        <v>26</v>
      </c>
      <c r="D658" t="s">
        <v>49</v>
      </c>
      <c r="E658">
        <v>28</v>
      </c>
      <c r="F658">
        <v>40</v>
      </c>
      <c r="G658" t="s">
        <v>65</v>
      </c>
      <c r="H658" t="s">
        <v>44</v>
      </c>
      <c r="I658" s="24">
        <v>46070</v>
      </c>
      <c r="J658" t="s">
        <v>117</v>
      </c>
      <c r="K658" t="s">
        <v>117</v>
      </c>
      <c r="L658" t="s">
        <v>117</v>
      </c>
      <c r="M658">
        <v>8</v>
      </c>
      <c r="N658">
        <v>224</v>
      </c>
      <c r="O658">
        <v>5.7142857142857144</v>
      </c>
      <c r="P658">
        <v>0</v>
      </c>
    </row>
    <row r="659" spans="1:16" x14ac:dyDescent="0.45">
      <c r="A659" t="s">
        <v>56</v>
      </c>
      <c r="B659" t="s">
        <v>29</v>
      </c>
      <c r="C659" t="s">
        <v>29</v>
      </c>
      <c r="D659" t="s">
        <v>49</v>
      </c>
      <c r="E659">
        <v>20</v>
      </c>
      <c r="F659">
        <v>40</v>
      </c>
      <c r="G659" t="s">
        <v>65</v>
      </c>
      <c r="H659" t="s">
        <v>45</v>
      </c>
      <c r="I659" s="24">
        <v>46070</v>
      </c>
      <c r="J659" t="s">
        <v>117</v>
      </c>
      <c r="K659" t="s">
        <v>117</v>
      </c>
      <c r="L659" t="s">
        <v>117</v>
      </c>
      <c r="M659">
        <v>7.9999999999999982</v>
      </c>
      <c r="N659">
        <v>159.99999999999997</v>
      </c>
      <c r="O659">
        <v>5.7142857142857144</v>
      </c>
      <c r="P659">
        <v>0</v>
      </c>
    </row>
    <row r="660" spans="1:16" x14ac:dyDescent="0.45">
      <c r="A660" t="s">
        <v>57</v>
      </c>
      <c r="B660" t="s">
        <v>29</v>
      </c>
      <c r="C660" t="s">
        <v>29</v>
      </c>
      <c r="D660" t="s">
        <v>49</v>
      </c>
      <c r="E660">
        <v>20</v>
      </c>
      <c r="F660">
        <v>40</v>
      </c>
      <c r="G660" t="s">
        <v>65</v>
      </c>
      <c r="H660" t="s">
        <v>44</v>
      </c>
      <c r="I660" s="24">
        <v>46070</v>
      </c>
      <c r="J660" t="s">
        <v>117</v>
      </c>
      <c r="K660" t="s">
        <v>117</v>
      </c>
      <c r="L660" t="s">
        <v>117</v>
      </c>
      <c r="M660">
        <v>8</v>
      </c>
      <c r="N660">
        <v>160</v>
      </c>
      <c r="O660">
        <v>5.7142857142857144</v>
      </c>
      <c r="P660">
        <v>0</v>
      </c>
    </row>
    <row r="661" spans="1:16" x14ac:dyDescent="0.45">
      <c r="A661" t="s">
        <v>58</v>
      </c>
      <c r="B661" t="s">
        <v>29</v>
      </c>
      <c r="C661" t="s">
        <v>29</v>
      </c>
      <c r="D661" t="s">
        <v>49</v>
      </c>
      <c r="E661">
        <v>20</v>
      </c>
      <c r="F661">
        <v>40</v>
      </c>
      <c r="G661" t="s">
        <v>65</v>
      </c>
      <c r="H661" t="s">
        <v>41</v>
      </c>
      <c r="I661" s="24">
        <v>46070</v>
      </c>
      <c r="J661" t="s">
        <v>117</v>
      </c>
      <c r="K661" t="s">
        <v>117</v>
      </c>
      <c r="L661" t="s">
        <v>117</v>
      </c>
      <c r="M661">
        <v>0</v>
      </c>
      <c r="N661">
        <v>0</v>
      </c>
      <c r="O661">
        <v>5.7142857142857144</v>
      </c>
      <c r="P661">
        <v>0</v>
      </c>
    </row>
    <row r="662" spans="1:16" x14ac:dyDescent="0.45">
      <c r="A662" t="s">
        <v>59</v>
      </c>
      <c r="B662" t="s">
        <v>29</v>
      </c>
      <c r="C662" t="s">
        <v>29</v>
      </c>
      <c r="D662" t="s">
        <v>60</v>
      </c>
      <c r="E662">
        <v>15</v>
      </c>
      <c r="F662">
        <v>20</v>
      </c>
      <c r="G662" t="s">
        <v>65</v>
      </c>
      <c r="H662" t="s">
        <v>46</v>
      </c>
      <c r="I662" s="24">
        <v>46070</v>
      </c>
      <c r="J662" t="s">
        <v>117</v>
      </c>
      <c r="K662" t="s">
        <v>117</v>
      </c>
      <c r="L662" t="s">
        <v>117</v>
      </c>
      <c r="M662">
        <v>4.9999999999999982</v>
      </c>
      <c r="N662">
        <v>74.999999999999972</v>
      </c>
      <c r="O662">
        <v>2.8571428571428572</v>
      </c>
      <c r="P662">
        <v>0</v>
      </c>
    </row>
    <row r="663" spans="1:16" x14ac:dyDescent="0.45">
      <c r="A663" t="s">
        <v>61</v>
      </c>
      <c r="B663" t="s">
        <v>29</v>
      </c>
      <c r="C663" t="s">
        <v>29</v>
      </c>
      <c r="D663" t="s">
        <v>60</v>
      </c>
      <c r="E663">
        <v>15</v>
      </c>
      <c r="F663">
        <v>20</v>
      </c>
      <c r="G663" t="s">
        <v>65</v>
      </c>
      <c r="H663" t="s">
        <v>40</v>
      </c>
      <c r="I663" s="24">
        <v>46070</v>
      </c>
      <c r="J663" t="s">
        <v>117</v>
      </c>
      <c r="K663" t="s">
        <v>117</v>
      </c>
      <c r="L663" t="s">
        <v>117</v>
      </c>
      <c r="M663">
        <v>5</v>
      </c>
      <c r="N663">
        <v>75</v>
      </c>
      <c r="O663">
        <v>2.8571428571428572</v>
      </c>
      <c r="P663">
        <v>0</v>
      </c>
    </row>
    <row r="664" spans="1:16" x14ac:dyDescent="0.45">
      <c r="A664" t="s">
        <v>62</v>
      </c>
      <c r="B664" t="s">
        <v>29</v>
      </c>
      <c r="C664" t="s">
        <v>29</v>
      </c>
      <c r="D664" t="s">
        <v>60</v>
      </c>
      <c r="E664">
        <v>15</v>
      </c>
      <c r="F664">
        <v>20</v>
      </c>
      <c r="G664" t="s">
        <v>65</v>
      </c>
      <c r="H664" t="s">
        <v>40</v>
      </c>
      <c r="I664" s="24">
        <v>46070</v>
      </c>
      <c r="J664" t="s">
        <v>117</v>
      </c>
      <c r="K664" t="s">
        <v>117</v>
      </c>
      <c r="L664" t="s">
        <v>117</v>
      </c>
      <c r="M664">
        <v>5</v>
      </c>
      <c r="N664">
        <v>75</v>
      </c>
      <c r="O664">
        <v>2.8571428571428572</v>
      </c>
      <c r="P664">
        <v>0</v>
      </c>
    </row>
    <row r="665" spans="1:16" x14ac:dyDescent="0.45">
      <c r="A665" t="s">
        <v>48</v>
      </c>
      <c r="B665" t="s">
        <v>30</v>
      </c>
      <c r="C665" t="s">
        <v>28</v>
      </c>
      <c r="D665" t="s">
        <v>49</v>
      </c>
      <c r="E665">
        <v>30</v>
      </c>
      <c r="F665">
        <v>40</v>
      </c>
      <c r="G665" t="s">
        <v>66</v>
      </c>
      <c r="H665" t="s">
        <v>40</v>
      </c>
      <c r="I665" s="24">
        <v>46071</v>
      </c>
      <c r="J665" t="s">
        <v>117</v>
      </c>
      <c r="K665" t="s">
        <v>117</v>
      </c>
      <c r="L665" t="s">
        <v>117</v>
      </c>
      <c r="M665">
        <v>5</v>
      </c>
      <c r="N665">
        <v>150</v>
      </c>
      <c r="O665">
        <v>5.7142857142857144</v>
      </c>
      <c r="P665">
        <v>0</v>
      </c>
    </row>
    <row r="666" spans="1:16" x14ac:dyDescent="0.45">
      <c r="A666" t="s">
        <v>50</v>
      </c>
      <c r="B666" t="s">
        <v>27</v>
      </c>
      <c r="C666" t="s">
        <v>28</v>
      </c>
      <c r="D666" t="s">
        <v>49</v>
      </c>
      <c r="E666">
        <v>25</v>
      </c>
      <c r="F666">
        <v>40</v>
      </c>
      <c r="G666" t="s">
        <v>66</v>
      </c>
      <c r="H666" t="s">
        <v>41</v>
      </c>
      <c r="I666" s="24">
        <v>46071</v>
      </c>
      <c r="J666" t="s">
        <v>117</v>
      </c>
      <c r="K666" t="s">
        <v>117</v>
      </c>
      <c r="L666" t="s">
        <v>117</v>
      </c>
      <c r="M666">
        <v>0</v>
      </c>
      <c r="N666">
        <v>0</v>
      </c>
      <c r="O666">
        <v>5.7142857142857144</v>
      </c>
      <c r="P666">
        <v>0</v>
      </c>
    </row>
    <row r="667" spans="1:16" x14ac:dyDescent="0.45">
      <c r="A667" t="s">
        <v>51</v>
      </c>
      <c r="B667" t="s">
        <v>27</v>
      </c>
      <c r="C667" t="s">
        <v>28</v>
      </c>
      <c r="D667" t="s">
        <v>49</v>
      </c>
      <c r="E667">
        <v>25</v>
      </c>
      <c r="F667">
        <v>40</v>
      </c>
      <c r="G667" t="s">
        <v>66</v>
      </c>
      <c r="H667" t="s">
        <v>35</v>
      </c>
      <c r="I667" s="24">
        <v>46071</v>
      </c>
      <c r="J667" t="s">
        <v>117</v>
      </c>
      <c r="K667" t="s">
        <v>117</v>
      </c>
      <c r="L667" t="s">
        <v>117</v>
      </c>
      <c r="M667">
        <v>7</v>
      </c>
      <c r="N667">
        <v>175</v>
      </c>
      <c r="O667">
        <v>5.7142857142857144</v>
      </c>
      <c r="P667">
        <v>0</v>
      </c>
    </row>
    <row r="668" spans="1:16" x14ac:dyDescent="0.45">
      <c r="A668" t="s">
        <v>52</v>
      </c>
      <c r="B668" t="s">
        <v>26</v>
      </c>
      <c r="C668" t="s">
        <v>26</v>
      </c>
      <c r="D668" t="s">
        <v>49</v>
      </c>
      <c r="E668">
        <v>35</v>
      </c>
      <c r="F668">
        <v>40</v>
      </c>
      <c r="G668" t="s">
        <v>66</v>
      </c>
      <c r="H668" t="s">
        <v>41</v>
      </c>
      <c r="I668" s="24">
        <v>46071</v>
      </c>
      <c r="J668" t="s">
        <v>117</v>
      </c>
      <c r="K668" t="s">
        <v>117</v>
      </c>
      <c r="L668" t="s">
        <v>117</v>
      </c>
      <c r="M668">
        <v>0</v>
      </c>
      <c r="N668">
        <v>0</v>
      </c>
      <c r="O668">
        <v>5.7142857142857144</v>
      </c>
      <c r="P668">
        <v>0</v>
      </c>
    </row>
    <row r="669" spans="1:16" x14ac:dyDescent="0.45">
      <c r="A669" t="s">
        <v>53</v>
      </c>
      <c r="B669" t="s">
        <v>26</v>
      </c>
      <c r="C669" t="s">
        <v>26</v>
      </c>
      <c r="D669" t="s">
        <v>49</v>
      </c>
      <c r="E669">
        <v>35</v>
      </c>
      <c r="F669">
        <v>40</v>
      </c>
      <c r="G669" t="s">
        <v>66</v>
      </c>
      <c r="H669" t="s">
        <v>42</v>
      </c>
      <c r="I669" s="24">
        <v>46071</v>
      </c>
      <c r="J669" t="s">
        <v>117</v>
      </c>
      <c r="K669" t="s">
        <v>117</v>
      </c>
      <c r="L669" t="s">
        <v>117</v>
      </c>
      <c r="M669">
        <v>7.9999999999999982</v>
      </c>
      <c r="N669">
        <v>279.99999999999994</v>
      </c>
      <c r="O669">
        <v>5.7142857142857144</v>
      </c>
      <c r="P669">
        <v>0</v>
      </c>
    </row>
    <row r="670" spans="1:16" x14ac:dyDescent="0.45">
      <c r="A670" t="s">
        <v>54</v>
      </c>
      <c r="B670" t="s">
        <v>25</v>
      </c>
      <c r="C670" t="s">
        <v>26</v>
      </c>
      <c r="D670" t="s">
        <v>49</v>
      </c>
      <c r="E670">
        <v>28</v>
      </c>
      <c r="F670">
        <v>40</v>
      </c>
      <c r="G670" t="s">
        <v>66</v>
      </c>
      <c r="H670" t="s">
        <v>42</v>
      </c>
      <c r="I670" s="24">
        <v>46071</v>
      </c>
      <c r="J670" t="s">
        <v>117</v>
      </c>
      <c r="K670" t="s">
        <v>117</v>
      </c>
      <c r="L670" t="s">
        <v>117</v>
      </c>
      <c r="M670">
        <v>7.9999999999999982</v>
      </c>
      <c r="N670">
        <v>223.99999999999994</v>
      </c>
      <c r="O670">
        <v>5.7142857142857144</v>
      </c>
      <c r="P670">
        <v>0</v>
      </c>
    </row>
    <row r="671" spans="1:16" x14ac:dyDescent="0.45">
      <c r="A671" t="s">
        <v>55</v>
      </c>
      <c r="B671" t="s">
        <v>25</v>
      </c>
      <c r="C671" t="s">
        <v>26</v>
      </c>
      <c r="D671" t="s">
        <v>49</v>
      </c>
      <c r="E671">
        <v>28</v>
      </c>
      <c r="F671">
        <v>40</v>
      </c>
      <c r="G671" t="s">
        <v>66</v>
      </c>
      <c r="H671" t="s">
        <v>44</v>
      </c>
      <c r="I671" s="24">
        <v>46071</v>
      </c>
      <c r="J671" t="s">
        <v>117</v>
      </c>
      <c r="K671" t="s">
        <v>117</v>
      </c>
      <c r="L671" t="s">
        <v>117</v>
      </c>
      <c r="M671">
        <v>8</v>
      </c>
      <c r="N671">
        <v>224</v>
      </c>
      <c r="O671">
        <v>5.7142857142857144</v>
      </c>
      <c r="P671">
        <v>0</v>
      </c>
    </row>
    <row r="672" spans="1:16" x14ac:dyDescent="0.45">
      <c r="A672" t="s">
        <v>56</v>
      </c>
      <c r="B672" t="s">
        <v>29</v>
      </c>
      <c r="C672" t="s">
        <v>29</v>
      </c>
      <c r="D672" t="s">
        <v>49</v>
      </c>
      <c r="E672">
        <v>20</v>
      </c>
      <c r="F672">
        <v>40</v>
      </c>
      <c r="G672" t="s">
        <v>66</v>
      </c>
      <c r="H672" t="s">
        <v>45</v>
      </c>
      <c r="I672" s="24">
        <v>46071</v>
      </c>
      <c r="J672" t="s">
        <v>117</v>
      </c>
      <c r="K672" t="s">
        <v>117</v>
      </c>
      <c r="L672" t="s">
        <v>117</v>
      </c>
      <c r="M672">
        <v>7.9999999999999982</v>
      </c>
      <c r="N672">
        <v>159.99999999999997</v>
      </c>
      <c r="O672">
        <v>5.7142857142857144</v>
      </c>
      <c r="P672">
        <v>0</v>
      </c>
    </row>
    <row r="673" spans="1:16" x14ac:dyDescent="0.45">
      <c r="A673" t="s">
        <v>57</v>
      </c>
      <c r="B673" t="s">
        <v>29</v>
      </c>
      <c r="C673" t="s">
        <v>29</v>
      </c>
      <c r="D673" t="s">
        <v>49</v>
      </c>
      <c r="E673">
        <v>20</v>
      </c>
      <c r="F673">
        <v>40</v>
      </c>
      <c r="G673" t="s">
        <v>66</v>
      </c>
      <c r="H673" t="s">
        <v>44</v>
      </c>
      <c r="I673" s="24">
        <v>46071</v>
      </c>
      <c r="J673" t="s">
        <v>117</v>
      </c>
      <c r="K673" t="s">
        <v>117</v>
      </c>
      <c r="L673" t="s">
        <v>117</v>
      </c>
      <c r="M673">
        <v>8</v>
      </c>
      <c r="N673">
        <v>160</v>
      </c>
      <c r="O673">
        <v>5.7142857142857144</v>
      </c>
      <c r="P673">
        <v>0</v>
      </c>
    </row>
    <row r="674" spans="1:16" x14ac:dyDescent="0.45">
      <c r="A674" t="s">
        <v>58</v>
      </c>
      <c r="B674" t="s">
        <v>29</v>
      </c>
      <c r="C674" t="s">
        <v>29</v>
      </c>
      <c r="D674" t="s">
        <v>49</v>
      </c>
      <c r="E674">
        <v>20</v>
      </c>
      <c r="F674">
        <v>40</v>
      </c>
      <c r="G674" t="s">
        <v>66</v>
      </c>
      <c r="H674" t="s">
        <v>41</v>
      </c>
      <c r="I674" s="24">
        <v>46071</v>
      </c>
      <c r="J674" t="s">
        <v>117</v>
      </c>
      <c r="K674" t="s">
        <v>117</v>
      </c>
      <c r="L674" t="s">
        <v>117</v>
      </c>
      <c r="M674">
        <v>0</v>
      </c>
      <c r="N674">
        <v>0</v>
      </c>
      <c r="O674">
        <v>5.7142857142857144</v>
      </c>
      <c r="P674">
        <v>0</v>
      </c>
    </row>
    <row r="675" spans="1:16" x14ac:dyDescent="0.45">
      <c r="A675" t="s">
        <v>59</v>
      </c>
      <c r="B675" t="s">
        <v>29</v>
      </c>
      <c r="C675" t="s">
        <v>29</v>
      </c>
      <c r="D675" t="s">
        <v>60</v>
      </c>
      <c r="E675">
        <v>15</v>
      </c>
      <c r="F675">
        <v>20</v>
      </c>
      <c r="G675" t="s">
        <v>66</v>
      </c>
      <c r="H675" t="s">
        <v>46</v>
      </c>
      <c r="I675" s="24">
        <v>46071</v>
      </c>
      <c r="J675" t="s">
        <v>117</v>
      </c>
      <c r="K675" t="s">
        <v>117</v>
      </c>
      <c r="L675" t="s">
        <v>117</v>
      </c>
      <c r="M675">
        <v>4.9999999999999982</v>
      </c>
      <c r="N675">
        <v>74.999999999999972</v>
      </c>
      <c r="O675">
        <v>2.8571428571428572</v>
      </c>
      <c r="P675">
        <v>0</v>
      </c>
    </row>
    <row r="676" spans="1:16" x14ac:dyDescent="0.45">
      <c r="A676" t="s">
        <v>61</v>
      </c>
      <c r="B676" t="s">
        <v>29</v>
      </c>
      <c r="C676" t="s">
        <v>29</v>
      </c>
      <c r="D676" t="s">
        <v>60</v>
      </c>
      <c r="E676">
        <v>15</v>
      </c>
      <c r="F676">
        <v>20</v>
      </c>
      <c r="G676" t="s">
        <v>66</v>
      </c>
      <c r="H676" t="s">
        <v>39</v>
      </c>
      <c r="I676" s="24">
        <v>46071</v>
      </c>
      <c r="J676" t="s">
        <v>117</v>
      </c>
      <c r="K676" t="s">
        <v>117</v>
      </c>
      <c r="L676" t="s">
        <v>117</v>
      </c>
      <c r="M676">
        <v>4.9999999999999982</v>
      </c>
      <c r="N676">
        <v>74.999999999999972</v>
      </c>
      <c r="O676">
        <v>2.8571428571428572</v>
      </c>
      <c r="P676">
        <v>0</v>
      </c>
    </row>
    <row r="677" spans="1:16" x14ac:dyDescent="0.45">
      <c r="A677" t="s">
        <v>62</v>
      </c>
      <c r="B677" t="s">
        <v>29</v>
      </c>
      <c r="C677" t="s">
        <v>29</v>
      </c>
      <c r="D677" t="s">
        <v>60</v>
      </c>
      <c r="E677">
        <v>15</v>
      </c>
      <c r="F677">
        <v>20</v>
      </c>
      <c r="G677" t="s">
        <v>66</v>
      </c>
      <c r="H677" t="s">
        <v>41</v>
      </c>
      <c r="I677" s="24">
        <v>46071</v>
      </c>
      <c r="J677" t="s">
        <v>117</v>
      </c>
      <c r="K677" t="s">
        <v>117</v>
      </c>
      <c r="L677" t="s">
        <v>117</v>
      </c>
      <c r="M677">
        <v>0</v>
      </c>
      <c r="N677">
        <v>0</v>
      </c>
      <c r="O677">
        <v>2.8571428571428572</v>
      </c>
      <c r="P677">
        <v>0</v>
      </c>
    </row>
    <row r="678" spans="1:16" x14ac:dyDescent="0.45">
      <c r="A678" t="s">
        <v>48</v>
      </c>
      <c r="B678" t="s">
        <v>30</v>
      </c>
      <c r="C678" t="s">
        <v>28</v>
      </c>
      <c r="D678" t="s">
        <v>49</v>
      </c>
      <c r="E678">
        <v>30</v>
      </c>
      <c r="F678">
        <v>40</v>
      </c>
      <c r="G678" t="s">
        <v>67</v>
      </c>
      <c r="H678" t="s">
        <v>41</v>
      </c>
      <c r="I678" s="24">
        <v>46072</v>
      </c>
      <c r="J678" t="s">
        <v>117</v>
      </c>
      <c r="K678" t="s">
        <v>117</v>
      </c>
      <c r="L678" t="s">
        <v>117</v>
      </c>
      <c r="M678">
        <v>0</v>
      </c>
      <c r="N678">
        <v>0</v>
      </c>
      <c r="O678">
        <v>5.7142857142857144</v>
      </c>
      <c r="P678">
        <v>0</v>
      </c>
    </row>
    <row r="679" spans="1:16" x14ac:dyDescent="0.45">
      <c r="A679" t="s">
        <v>50</v>
      </c>
      <c r="B679" t="s">
        <v>27</v>
      </c>
      <c r="C679" t="s">
        <v>28</v>
      </c>
      <c r="D679" t="s">
        <v>49</v>
      </c>
      <c r="E679">
        <v>25</v>
      </c>
      <c r="F679">
        <v>40</v>
      </c>
      <c r="G679" t="s">
        <v>67</v>
      </c>
      <c r="H679" t="s">
        <v>37</v>
      </c>
      <c r="I679" s="24">
        <v>46072</v>
      </c>
      <c r="J679" t="s">
        <v>117</v>
      </c>
      <c r="K679" t="s">
        <v>117</v>
      </c>
      <c r="L679" t="s">
        <v>117</v>
      </c>
      <c r="M679">
        <v>7</v>
      </c>
      <c r="N679">
        <v>175</v>
      </c>
      <c r="O679">
        <v>5.7142857142857144</v>
      </c>
      <c r="P679">
        <v>0</v>
      </c>
    </row>
    <row r="680" spans="1:16" x14ac:dyDescent="0.45">
      <c r="A680" t="s">
        <v>51</v>
      </c>
      <c r="B680" t="s">
        <v>27</v>
      </c>
      <c r="C680" t="s">
        <v>28</v>
      </c>
      <c r="D680" t="s">
        <v>49</v>
      </c>
      <c r="E680">
        <v>25</v>
      </c>
      <c r="F680">
        <v>40</v>
      </c>
      <c r="G680" t="s">
        <v>67</v>
      </c>
      <c r="H680" t="s">
        <v>35</v>
      </c>
      <c r="I680" s="24">
        <v>46072</v>
      </c>
      <c r="J680" t="s">
        <v>117</v>
      </c>
      <c r="K680" t="s">
        <v>117</v>
      </c>
      <c r="L680" t="s">
        <v>117</v>
      </c>
      <c r="M680">
        <v>7</v>
      </c>
      <c r="N680">
        <v>175</v>
      </c>
      <c r="O680">
        <v>5.7142857142857144</v>
      </c>
      <c r="P680">
        <v>0</v>
      </c>
    </row>
    <row r="681" spans="1:16" x14ac:dyDescent="0.45">
      <c r="A681" t="s">
        <v>52</v>
      </c>
      <c r="B681" t="s">
        <v>26</v>
      </c>
      <c r="C681" t="s">
        <v>26</v>
      </c>
      <c r="D681" t="s">
        <v>49</v>
      </c>
      <c r="E681">
        <v>35</v>
      </c>
      <c r="F681">
        <v>40</v>
      </c>
      <c r="G681" t="s">
        <v>67</v>
      </c>
      <c r="H681" t="s">
        <v>41</v>
      </c>
      <c r="I681" s="24">
        <v>46072</v>
      </c>
      <c r="J681" t="s">
        <v>117</v>
      </c>
      <c r="K681" t="s">
        <v>117</v>
      </c>
      <c r="L681" t="s">
        <v>117</v>
      </c>
      <c r="M681">
        <v>0</v>
      </c>
      <c r="N681">
        <v>0</v>
      </c>
      <c r="O681">
        <v>5.7142857142857144</v>
      </c>
      <c r="P681">
        <v>0</v>
      </c>
    </row>
    <row r="682" spans="1:16" x14ac:dyDescent="0.45">
      <c r="A682" t="s">
        <v>53</v>
      </c>
      <c r="B682" t="s">
        <v>26</v>
      </c>
      <c r="C682" t="s">
        <v>26</v>
      </c>
      <c r="D682" t="s">
        <v>49</v>
      </c>
      <c r="E682">
        <v>35</v>
      </c>
      <c r="F682">
        <v>40</v>
      </c>
      <c r="G682" t="s">
        <v>67</v>
      </c>
      <c r="H682" t="s">
        <v>44</v>
      </c>
      <c r="I682" s="24">
        <v>46072</v>
      </c>
      <c r="J682" t="s">
        <v>117</v>
      </c>
      <c r="K682" t="s">
        <v>117</v>
      </c>
      <c r="L682" t="s">
        <v>117</v>
      </c>
      <c r="M682">
        <v>8</v>
      </c>
      <c r="N682">
        <v>280</v>
      </c>
      <c r="O682">
        <v>5.7142857142857144</v>
      </c>
      <c r="P682">
        <v>0</v>
      </c>
    </row>
    <row r="683" spans="1:16" x14ac:dyDescent="0.45">
      <c r="A683" t="s">
        <v>54</v>
      </c>
      <c r="B683" t="s">
        <v>25</v>
      </c>
      <c r="C683" t="s">
        <v>26</v>
      </c>
      <c r="D683" t="s">
        <v>49</v>
      </c>
      <c r="E683">
        <v>28</v>
      </c>
      <c r="F683">
        <v>40</v>
      </c>
      <c r="G683" t="s">
        <v>67</v>
      </c>
      <c r="H683" t="s">
        <v>42</v>
      </c>
      <c r="I683" s="24">
        <v>46072</v>
      </c>
      <c r="J683" t="s">
        <v>117</v>
      </c>
      <c r="K683" t="s">
        <v>117</v>
      </c>
      <c r="L683" t="s">
        <v>117</v>
      </c>
      <c r="M683">
        <v>7.9999999999999982</v>
      </c>
      <c r="N683">
        <v>223.99999999999994</v>
      </c>
      <c r="O683">
        <v>5.7142857142857144</v>
      </c>
      <c r="P683">
        <v>0</v>
      </c>
    </row>
    <row r="684" spans="1:16" x14ac:dyDescent="0.45">
      <c r="A684" t="s">
        <v>55</v>
      </c>
      <c r="B684" t="s">
        <v>25</v>
      </c>
      <c r="C684" t="s">
        <v>26</v>
      </c>
      <c r="D684" t="s">
        <v>49</v>
      </c>
      <c r="E684">
        <v>28</v>
      </c>
      <c r="F684">
        <v>40</v>
      </c>
      <c r="G684" t="s">
        <v>67</v>
      </c>
      <c r="H684" t="s">
        <v>44</v>
      </c>
      <c r="I684" s="24">
        <v>46072</v>
      </c>
      <c r="J684" t="s">
        <v>117</v>
      </c>
      <c r="K684" t="s">
        <v>117</v>
      </c>
      <c r="L684" t="s">
        <v>117</v>
      </c>
      <c r="M684">
        <v>8</v>
      </c>
      <c r="N684">
        <v>224</v>
      </c>
      <c r="O684">
        <v>5.7142857142857144</v>
      </c>
      <c r="P684">
        <v>0</v>
      </c>
    </row>
    <row r="685" spans="1:16" x14ac:dyDescent="0.45">
      <c r="A685" t="s">
        <v>56</v>
      </c>
      <c r="B685" t="s">
        <v>29</v>
      </c>
      <c r="C685" t="s">
        <v>29</v>
      </c>
      <c r="D685" t="s">
        <v>49</v>
      </c>
      <c r="E685">
        <v>20</v>
      </c>
      <c r="F685">
        <v>40</v>
      </c>
      <c r="G685" t="s">
        <v>67</v>
      </c>
      <c r="H685" t="s">
        <v>41</v>
      </c>
      <c r="I685" s="24">
        <v>46072</v>
      </c>
      <c r="J685" t="s">
        <v>117</v>
      </c>
      <c r="K685" t="s">
        <v>117</v>
      </c>
      <c r="L685" t="s">
        <v>117</v>
      </c>
      <c r="M685">
        <v>0</v>
      </c>
      <c r="N685">
        <v>0</v>
      </c>
      <c r="O685">
        <v>5.7142857142857144</v>
      </c>
      <c r="P685">
        <v>0</v>
      </c>
    </row>
    <row r="686" spans="1:16" x14ac:dyDescent="0.45">
      <c r="A686" t="s">
        <v>57</v>
      </c>
      <c r="B686" t="s">
        <v>29</v>
      </c>
      <c r="C686" t="s">
        <v>29</v>
      </c>
      <c r="D686" t="s">
        <v>49</v>
      </c>
      <c r="E686">
        <v>20</v>
      </c>
      <c r="F686">
        <v>40</v>
      </c>
      <c r="G686" t="s">
        <v>67</v>
      </c>
      <c r="H686" t="s">
        <v>44</v>
      </c>
      <c r="I686" s="24">
        <v>46072</v>
      </c>
      <c r="J686" t="s">
        <v>117</v>
      </c>
      <c r="K686" t="s">
        <v>117</v>
      </c>
      <c r="L686" t="s">
        <v>117</v>
      </c>
      <c r="M686">
        <v>8</v>
      </c>
      <c r="N686">
        <v>160</v>
      </c>
      <c r="O686">
        <v>5.7142857142857144</v>
      </c>
      <c r="P686">
        <v>0</v>
      </c>
    </row>
    <row r="687" spans="1:16" x14ac:dyDescent="0.45">
      <c r="A687" t="s">
        <v>58</v>
      </c>
      <c r="B687" t="s">
        <v>29</v>
      </c>
      <c r="C687" t="s">
        <v>29</v>
      </c>
      <c r="D687" t="s">
        <v>49</v>
      </c>
      <c r="E687">
        <v>20</v>
      </c>
      <c r="F687">
        <v>40</v>
      </c>
      <c r="G687" t="s">
        <v>67</v>
      </c>
      <c r="H687" t="s">
        <v>44</v>
      </c>
      <c r="I687" s="24">
        <v>46072</v>
      </c>
      <c r="J687" t="s">
        <v>117</v>
      </c>
      <c r="K687" t="s">
        <v>117</v>
      </c>
      <c r="L687" t="s">
        <v>117</v>
      </c>
      <c r="M687">
        <v>8</v>
      </c>
      <c r="N687">
        <v>160</v>
      </c>
      <c r="O687">
        <v>5.7142857142857144</v>
      </c>
      <c r="P687">
        <v>0</v>
      </c>
    </row>
    <row r="688" spans="1:16" x14ac:dyDescent="0.45">
      <c r="A688" t="s">
        <v>59</v>
      </c>
      <c r="B688" t="s">
        <v>29</v>
      </c>
      <c r="C688" t="s">
        <v>29</v>
      </c>
      <c r="D688" t="s">
        <v>60</v>
      </c>
      <c r="E688">
        <v>15</v>
      </c>
      <c r="F688">
        <v>20</v>
      </c>
      <c r="G688" t="s">
        <v>67</v>
      </c>
      <c r="H688" t="s">
        <v>46</v>
      </c>
      <c r="I688" s="24">
        <v>46072</v>
      </c>
      <c r="J688" t="s">
        <v>117</v>
      </c>
      <c r="K688" t="s">
        <v>117</v>
      </c>
      <c r="L688" t="s">
        <v>117</v>
      </c>
      <c r="M688">
        <v>4.9999999999999982</v>
      </c>
      <c r="N688">
        <v>74.999999999999972</v>
      </c>
      <c r="O688">
        <v>2.8571428571428572</v>
      </c>
      <c r="P688">
        <v>0</v>
      </c>
    </row>
    <row r="689" spans="1:16" x14ac:dyDescent="0.45">
      <c r="A689" t="s">
        <v>61</v>
      </c>
      <c r="B689" t="s">
        <v>29</v>
      </c>
      <c r="C689" t="s">
        <v>29</v>
      </c>
      <c r="D689" t="s">
        <v>60</v>
      </c>
      <c r="E689">
        <v>15</v>
      </c>
      <c r="F689">
        <v>20</v>
      </c>
      <c r="G689" t="s">
        <v>67</v>
      </c>
      <c r="H689" t="s">
        <v>41</v>
      </c>
      <c r="I689" s="24">
        <v>46072</v>
      </c>
      <c r="J689" t="s">
        <v>117</v>
      </c>
      <c r="K689" t="s">
        <v>117</v>
      </c>
      <c r="L689" t="s">
        <v>117</v>
      </c>
      <c r="M689">
        <v>0</v>
      </c>
      <c r="N689">
        <v>0</v>
      </c>
      <c r="O689">
        <v>2.8571428571428572</v>
      </c>
      <c r="P689">
        <v>0</v>
      </c>
    </row>
    <row r="690" spans="1:16" x14ac:dyDescent="0.45">
      <c r="A690" t="s">
        <v>62</v>
      </c>
      <c r="B690" t="s">
        <v>29</v>
      </c>
      <c r="C690" t="s">
        <v>29</v>
      </c>
      <c r="D690" t="s">
        <v>60</v>
      </c>
      <c r="E690">
        <v>15</v>
      </c>
      <c r="F690">
        <v>20</v>
      </c>
      <c r="G690" t="s">
        <v>67</v>
      </c>
      <c r="H690" t="s">
        <v>41</v>
      </c>
      <c r="I690" s="24">
        <v>46072</v>
      </c>
      <c r="J690" t="s">
        <v>117</v>
      </c>
      <c r="K690" t="s">
        <v>117</v>
      </c>
      <c r="L690" t="s">
        <v>117</v>
      </c>
      <c r="M690">
        <v>0</v>
      </c>
      <c r="N690">
        <v>0</v>
      </c>
      <c r="O690">
        <v>2.8571428571428572</v>
      </c>
      <c r="P690">
        <v>0</v>
      </c>
    </row>
    <row r="691" spans="1:16" x14ac:dyDescent="0.45">
      <c r="A691" t="s">
        <v>48</v>
      </c>
      <c r="B691" t="s">
        <v>30</v>
      </c>
      <c r="C691" t="s">
        <v>28</v>
      </c>
      <c r="D691" t="s">
        <v>49</v>
      </c>
      <c r="E691">
        <v>30</v>
      </c>
      <c r="F691">
        <v>40</v>
      </c>
      <c r="G691" t="s">
        <v>68</v>
      </c>
      <c r="H691" t="s">
        <v>35</v>
      </c>
      <c r="I691" s="24">
        <v>46073</v>
      </c>
      <c r="J691" t="s">
        <v>117</v>
      </c>
      <c r="K691" t="s">
        <v>117</v>
      </c>
      <c r="L691" t="s">
        <v>117</v>
      </c>
      <c r="M691">
        <v>7</v>
      </c>
      <c r="N691">
        <v>210</v>
      </c>
      <c r="O691">
        <v>5.7142857142857144</v>
      </c>
      <c r="P691">
        <v>0</v>
      </c>
    </row>
    <row r="692" spans="1:16" x14ac:dyDescent="0.45">
      <c r="A692" t="s">
        <v>50</v>
      </c>
      <c r="B692" t="s">
        <v>27</v>
      </c>
      <c r="C692" t="s">
        <v>28</v>
      </c>
      <c r="D692" t="s">
        <v>49</v>
      </c>
      <c r="E692">
        <v>25</v>
      </c>
      <c r="F692">
        <v>40</v>
      </c>
      <c r="G692" t="s">
        <v>68</v>
      </c>
      <c r="H692" t="s">
        <v>37</v>
      </c>
      <c r="I692" s="24">
        <v>46073</v>
      </c>
      <c r="J692" t="s">
        <v>117</v>
      </c>
      <c r="K692" t="s">
        <v>117</v>
      </c>
      <c r="L692" t="s">
        <v>117</v>
      </c>
      <c r="M692">
        <v>7</v>
      </c>
      <c r="N692">
        <v>175</v>
      </c>
      <c r="O692">
        <v>5.7142857142857144</v>
      </c>
      <c r="P692">
        <v>0</v>
      </c>
    </row>
    <row r="693" spans="1:16" x14ac:dyDescent="0.45">
      <c r="A693" t="s">
        <v>51</v>
      </c>
      <c r="B693" t="s">
        <v>27</v>
      </c>
      <c r="C693" t="s">
        <v>28</v>
      </c>
      <c r="D693" t="s">
        <v>49</v>
      </c>
      <c r="E693">
        <v>25</v>
      </c>
      <c r="F693">
        <v>40</v>
      </c>
      <c r="G693" t="s">
        <v>68</v>
      </c>
      <c r="H693" t="s">
        <v>35</v>
      </c>
      <c r="I693" s="24">
        <v>46073</v>
      </c>
      <c r="J693" t="s">
        <v>117</v>
      </c>
      <c r="K693" t="s">
        <v>117</v>
      </c>
      <c r="L693" t="s">
        <v>117</v>
      </c>
      <c r="M693">
        <v>7</v>
      </c>
      <c r="N693">
        <v>175</v>
      </c>
      <c r="O693">
        <v>5.7142857142857144</v>
      </c>
      <c r="P693">
        <v>0</v>
      </c>
    </row>
    <row r="694" spans="1:16" x14ac:dyDescent="0.45">
      <c r="A694" t="s">
        <v>52</v>
      </c>
      <c r="B694" t="s">
        <v>26</v>
      </c>
      <c r="C694" t="s">
        <v>26</v>
      </c>
      <c r="D694" t="s">
        <v>49</v>
      </c>
      <c r="E694">
        <v>35</v>
      </c>
      <c r="F694">
        <v>40</v>
      </c>
      <c r="G694" t="s">
        <v>68</v>
      </c>
      <c r="H694" t="s">
        <v>41</v>
      </c>
      <c r="I694" s="24">
        <v>46073</v>
      </c>
      <c r="J694" t="s">
        <v>117</v>
      </c>
      <c r="K694" t="s">
        <v>117</v>
      </c>
      <c r="L694" t="s">
        <v>117</v>
      </c>
      <c r="M694">
        <v>0</v>
      </c>
      <c r="N694">
        <v>0</v>
      </c>
      <c r="O694">
        <v>5.7142857142857144</v>
      </c>
      <c r="P694">
        <v>0</v>
      </c>
    </row>
    <row r="695" spans="1:16" x14ac:dyDescent="0.45">
      <c r="A695" t="s">
        <v>53</v>
      </c>
      <c r="B695" t="s">
        <v>26</v>
      </c>
      <c r="C695" t="s">
        <v>26</v>
      </c>
      <c r="D695" t="s">
        <v>49</v>
      </c>
      <c r="E695">
        <v>35</v>
      </c>
      <c r="F695">
        <v>40</v>
      </c>
      <c r="G695" t="s">
        <v>68</v>
      </c>
      <c r="H695" t="s">
        <v>41</v>
      </c>
      <c r="I695" s="24">
        <v>46073</v>
      </c>
      <c r="J695" t="s">
        <v>117</v>
      </c>
      <c r="K695" t="s">
        <v>117</v>
      </c>
      <c r="L695" t="s">
        <v>117</v>
      </c>
      <c r="M695">
        <v>0</v>
      </c>
      <c r="N695">
        <v>0</v>
      </c>
      <c r="O695">
        <v>5.7142857142857144</v>
      </c>
      <c r="P695">
        <v>0</v>
      </c>
    </row>
    <row r="696" spans="1:16" x14ac:dyDescent="0.45">
      <c r="A696" t="s">
        <v>54</v>
      </c>
      <c r="B696" t="s">
        <v>25</v>
      </c>
      <c r="C696" t="s">
        <v>26</v>
      </c>
      <c r="D696" t="s">
        <v>49</v>
      </c>
      <c r="E696">
        <v>28</v>
      </c>
      <c r="F696">
        <v>40</v>
      </c>
      <c r="G696" t="s">
        <v>68</v>
      </c>
      <c r="H696" t="s">
        <v>42</v>
      </c>
      <c r="I696" s="24">
        <v>46073</v>
      </c>
      <c r="J696" t="s">
        <v>117</v>
      </c>
      <c r="K696" t="s">
        <v>117</v>
      </c>
      <c r="L696" t="s">
        <v>117</v>
      </c>
      <c r="M696">
        <v>7.9999999999999982</v>
      </c>
      <c r="N696">
        <v>223.99999999999994</v>
      </c>
      <c r="O696">
        <v>5.7142857142857144</v>
      </c>
      <c r="P696">
        <v>0</v>
      </c>
    </row>
    <row r="697" spans="1:16" x14ac:dyDescent="0.45">
      <c r="A697" t="s">
        <v>55</v>
      </c>
      <c r="B697" t="s">
        <v>25</v>
      </c>
      <c r="C697" t="s">
        <v>26</v>
      </c>
      <c r="D697" t="s">
        <v>49</v>
      </c>
      <c r="E697">
        <v>28</v>
      </c>
      <c r="F697">
        <v>40</v>
      </c>
      <c r="G697" t="s">
        <v>68</v>
      </c>
      <c r="H697" t="s">
        <v>44</v>
      </c>
      <c r="I697" s="24">
        <v>46073</v>
      </c>
      <c r="J697" t="s">
        <v>117</v>
      </c>
      <c r="K697" t="s">
        <v>117</v>
      </c>
      <c r="L697" t="s">
        <v>117</v>
      </c>
      <c r="M697">
        <v>8</v>
      </c>
      <c r="N697">
        <v>224</v>
      </c>
      <c r="O697">
        <v>5.7142857142857144</v>
      </c>
      <c r="P697">
        <v>0</v>
      </c>
    </row>
    <row r="698" spans="1:16" x14ac:dyDescent="0.45">
      <c r="A698" t="s">
        <v>56</v>
      </c>
      <c r="B698" t="s">
        <v>29</v>
      </c>
      <c r="C698" t="s">
        <v>29</v>
      </c>
      <c r="D698" t="s">
        <v>49</v>
      </c>
      <c r="E698">
        <v>20</v>
      </c>
      <c r="F698">
        <v>40</v>
      </c>
      <c r="G698" t="s">
        <v>68</v>
      </c>
      <c r="H698" t="s">
        <v>44</v>
      </c>
      <c r="I698" s="24">
        <v>46073</v>
      </c>
      <c r="J698" t="s">
        <v>117</v>
      </c>
      <c r="K698" t="s">
        <v>117</v>
      </c>
      <c r="L698" t="s">
        <v>117</v>
      </c>
      <c r="M698">
        <v>8</v>
      </c>
      <c r="N698">
        <v>160</v>
      </c>
      <c r="O698">
        <v>5.7142857142857144</v>
      </c>
      <c r="P698">
        <v>0</v>
      </c>
    </row>
    <row r="699" spans="1:16" x14ac:dyDescent="0.45">
      <c r="A699" t="s">
        <v>57</v>
      </c>
      <c r="B699" t="s">
        <v>29</v>
      </c>
      <c r="C699" t="s">
        <v>29</v>
      </c>
      <c r="D699" t="s">
        <v>49</v>
      </c>
      <c r="E699">
        <v>20</v>
      </c>
      <c r="F699">
        <v>40</v>
      </c>
      <c r="G699" t="s">
        <v>68</v>
      </c>
      <c r="H699" t="s">
        <v>41</v>
      </c>
      <c r="I699" s="24">
        <v>46073</v>
      </c>
      <c r="J699" t="s">
        <v>117</v>
      </c>
      <c r="K699" t="s">
        <v>117</v>
      </c>
      <c r="L699" t="s">
        <v>117</v>
      </c>
      <c r="M699">
        <v>0</v>
      </c>
      <c r="N699">
        <v>0</v>
      </c>
      <c r="O699">
        <v>5.7142857142857144</v>
      </c>
      <c r="P699">
        <v>0</v>
      </c>
    </row>
    <row r="700" spans="1:16" x14ac:dyDescent="0.45">
      <c r="A700" t="s">
        <v>58</v>
      </c>
      <c r="B700" t="s">
        <v>29</v>
      </c>
      <c r="C700" t="s">
        <v>29</v>
      </c>
      <c r="D700" t="s">
        <v>49</v>
      </c>
      <c r="E700">
        <v>20</v>
      </c>
      <c r="F700">
        <v>40</v>
      </c>
      <c r="G700" t="s">
        <v>68</v>
      </c>
      <c r="H700" t="s">
        <v>46</v>
      </c>
      <c r="I700" s="24">
        <v>46073</v>
      </c>
      <c r="J700" t="s">
        <v>117</v>
      </c>
      <c r="K700" t="s">
        <v>117</v>
      </c>
      <c r="L700" t="s">
        <v>117</v>
      </c>
      <c r="M700">
        <v>4.9999999999999982</v>
      </c>
      <c r="N700">
        <v>99.999999999999972</v>
      </c>
      <c r="O700">
        <v>5.7142857142857144</v>
      </c>
      <c r="P700">
        <v>0</v>
      </c>
    </row>
    <row r="701" spans="1:16" x14ac:dyDescent="0.45">
      <c r="A701" t="s">
        <v>59</v>
      </c>
      <c r="B701" t="s">
        <v>29</v>
      </c>
      <c r="C701" t="s">
        <v>29</v>
      </c>
      <c r="D701" t="s">
        <v>60</v>
      </c>
      <c r="E701">
        <v>15</v>
      </c>
      <c r="F701">
        <v>20</v>
      </c>
      <c r="G701" t="s">
        <v>68</v>
      </c>
      <c r="H701" t="s">
        <v>46</v>
      </c>
      <c r="I701" s="24">
        <v>46073</v>
      </c>
      <c r="J701" t="s">
        <v>117</v>
      </c>
      <c r="K701" t="s">
        <v>117</v>
      </c>
      <c r="L701" t="s">
        <v>117</v>
      </c>
      <c r="M701">
        <v>4.9999999999999982</v>
      </c>
      <c r="N701">
        <v>74.999999999999972</v>
      </c>
      <c r="O701">
        <v>2.8571428571428572</v>
      </c>
      <c r="P701">
        <v>0</v>
      </c>
    </row>
    <row r="702" spans="1:16" x14ac:dyDescent="0.45">
      <c r="A702" t="s">
        <v>61</v>
      </c>
      <c r="B702" t="s">
        <v>29</v>
      </c>
      <c r="C702" t="s">
        <v>29</v>
      </c>
      <c r="D702" t="s">
        <v>60</v>
      </c>
      <c r="E702">
        <v>15</v>
      </c>
      <c r="F702">
        <v>20</v>
      </c>
      <c r="G702" t="s">
        <v>68</v>
      </c>
      <c r="H702" t="s">
        <v>46</v>
      </c>
      <c r="I702" s="24">
        <v>46073</v>
      </c>
      <c r="J702" t="s">
        <v>117</v>
      </c>
      <c r="K702" t="s">
        <v>117</v>
      </c>
      <c r="L702" t="s">
        <v>117</v>
      </c>
      <c r="M702">
        <v>4.9999999999999982</v>
      </c>
      <c r="N702">
        <v>74.999999999999972</v>
      </c>
      <c r="O702">
        <v>2.8571428571428572</v>
      </c>
      <c r="P702">
        <v>0</v>
      </c>
    </row>
    <row r="703" spans="1:16" x14ac:dyDescent="0.45">
      <c r="A703" t="s">
        <v>62</v>
      </c>
      <c r="B703" t="s">
        <v>29</v>
      </c>
      <c r="C703" t="s">
        <v>29</v>
      </c>
      <c r="D703" t="s">
        <v>60</v>
      </c>
      <c r="E703">
        <v>15</v>
      </c>
      <c r="F703">
        <v>20</v>
      </c>
      <c r="G703" t="s">
        <v>68</v>
      </c>
      <c r="H703" t="s">
        <v>39</v>
      </c>
      <c r="I703" s="24">
        <v>46073</v>
      </c>
      <c r="J703" t="s">
        <v>117</v>
      </c>
      <c r="K703" t="s">
        <v>117</v>
      </c>
      <c r="L703" t="s">
        <v>117</v>
      </c>
      <c r="M703">
        <v>4.9999999999999982</v>
      </c>
      <c r="N703">
        <v>74.999999999999972</v>
      </c>
      <c r="O703">
        <v>2.8571428571428572</v>
      </c>
      <c r="P703">
        <v>0</v>
      </c>
    </row>
    <row r="704" spans="1:16" x14ac:dyDescent="0.45">
      <c r="A704" t="s">
        <v>48</v>
      </c>
      <c r="B704" t="s">
        <v>30</v>
      </c>
      <c r="C704" t="s">
        <v>28</v>
      </c>
      <c r="D704" t="s">
        <v>49</v>
      </c>
      <c r="E704">
        <v>30</v>
      </c>
      <c r="F704">
        <v>40</v>
      </c>
      <c r="G704" t="s">
        <v>69</v>
      </c>
      <c r="H704" t="s">
        <v>37</v>
      </c>
      <c r="I704" s="24">
        <v>46074</v>
      </c>
      <c r="J704" t="s">
        <v>118</v>
      </c>
      <c r="K704" t="s">
        <v>117</v>
      </c>
      <c r="L704" t="s">
        <v>118</v>
      </c>
      <c r="M704">
        <v>7</v>
      </c>
      <c r="N704">
        <v>315</v>
      </c>
      <c r="O704">
        <v>5.7142857142857144</v>
      </c>
      <c r="P704">
        <v>1</v>
      </c>
    </row>
    <row r="705" spans="1:16" x14ac:dyDescent="0.45">
      <c r="A705" t="s">
        <v>50</v>
      </c>
      <c r="B705" t="s">
        <v>27</v>
      </c>
      <c r="C705" t="s">
        <v>28</v>
      </c>
      <c r="D705" t="s">
        <v>49</v>
      </c>
      <c r="E705">
        <v>25</v>
      </c>
      <c r="F705">
        <v>40</v>
      </c>
      <c r="G705" t="s">
        <v>69</v>
      </c>
      <c r="H705" t="s">
        <v>40</v>
      </c>
      <c r="I705" s="24">
        <v>46074</v>
      </c>
      <c r="J705" t="s">
        <v>118</v>
      </c>
      <c r="K705" t="s">
        <v>117</v>
      </c>
      <c r="L705" t="s">
        <v>118</v>
      </c>
      <c r="M705">
        <v>5</v>
      </c>
      <c r="N705">
        <v>187.5</v>
      </c>
      <c r="O705">
        <v>5.7142857142857144</v>
      </c>
      <c r="P705">
        <v>1</v>
      </c>
    </row>
    <row r="706" spans="1:16" x14ac:dyDescent="0.45">
      <c r="A706" t="s">
        <v>51</v>
      </c>
      <c r="B706" t="s">
        <v>27</v>
      </c>
      <c r="C706" t="s">
        <v>28</v>
      </c>
      <c r="D706" t="s">
        <v>49</v>
      </c>
      <c r="E706">
        <v>25</v>
      </c>
      <c r="F706">
        <v>40</v>
      </c>
      <c r="G706" t="s">
        <v>69</v>
      </c>
      <c r="H706" t="s">
        <v>35</v>
      </c>
      <c r="I706" s="24">
        <v>46074</v>
      </c>
      <c r="J706" t="s">
        <v>118</v>
      </c>
      <c r="K706" t="s">
        <v>117</v>
      </c>
      <c r="L706" t="s">
        <v>118</v>
      </c>
      <c r="M706">
        <v>7</v>
      </c>
      <c r="N706">
        <v>262.5</v>
      </c>
      <c r="O706">
        <v>5.7142857142857144</v>
      </c>
      <c r="P706">
        <v>1</v>
      </c>
    </row>
    <row r="707" spans="1:16" x14ac:dyDescent="0.45">
      <c r="A707" t="s">
        <v>52</v>
      </c>
      <c r="B707" t="s">
        <v>26</v>
      </c>
      <c r="C707" t="s">
        <v>26</v>
      </c>
      <c r="D707" t="s">
        <v>49</v>
      </c>
      <c r="E707">
        <v>35</v>
      </c>
      <c r="F707">
        <v>40</v>
      </c>
      <c r="G707" t="s">
        <v>69</v>
      </c>
      <c r="H707" t="s">
        <v>41</v>
      </c>
      <c r="I707" s="24">
        <v>46074</v>
      </c>
      <c r="J707" t="s">
        <v>118</v>
      </c>
      <c r="K707" t="s">
        <v>117</v>
      </c>
      <c r="L707" t="s">
        <v>118</v>
      </c>
      <c r="M707">
        <v>0</v>
      </c>
      <c r="N707">
        <v>0</v>
      </c>
      <c r="O707">
        <v>5.7142857142857144</v>
      </c>
      <c r="P707">
        <v>0</v>
      </c>
    </row>
    <row r="708" spans="1:16" x14ac:dyDescent="0.45">
      <c r="A708" t="s">
        <v>53</v>
      </c>
      <c r="B708" t="s">
        <v>26</v>
      </c>
      <c r="C708" t="s">
        <v>26</v>
      </c>
      <c r="D708" t="s">
        <v>49</v>
      </c>
      <c r="E708">
        <v>35</v>
      </c>
      <c r="F708">
        <v>40</v>
      </c>
      <c r="G708" t="s">
        <v>69</v>
      </c>
      <c r="H708" t="s">
        <v>42</v>
      </c>
      <c r="I708" s="24">
        <v>46074</v>
      </c>
      <c r="J708" t="s">
        <v>118</v>
      </c>
      <c r="K708" t="s">
        <v>117</v>
      </c>
      <c r="L708" t="s">
        <v>118</v>
      </c>
      <c r="M708">
        <v>7.9999999999999982</v>
      </c>
      <c r="N708">
        <v>419.99999999999989</v>
      </c>
      <c r="O708">
        <v>5.7142857142857144</v>
      </c>
      <c r="P708">
        <v>1</v>
      </c>
    </row>
    <row r="709" spans="1:16" x14ac:dyDescent="0.45">
      <c r="A709" t="s">
        <v>54</v>
      </c>
      <c r="B709" t="s">
        <v>25</v>
      </c>
      <c r="C709" t="s">
        <v>26</v>
      </c>
      <c r="D709" t="s">
        <v>49</v>
      </c>
      <c r="E709">
        <v>28</v>
      </c>
      <c r="F709">
        <v>40</v>
      </c>
      <c r="G709" t="s">
        <v>69</v>
      </c>
      <c r="H709" t="s">
        <v>44</v>
      </c>
      <c r="I709" s="24">
        <v>46074</v>
      </c>
      <c r="J709" t="s">
        <v>118</v>
      </c>
      <c r="K709" t="s">
        <v>117</v>
      </c>
      <c r="L709" t="s">
        <v>118</v>
      </c>
      <c r="M709">
        <v>8</v>
      </c>
      <c r="N709">
        <v>336</v>
      </c>
      <c r="O709">
        <v>5.7142857142857144</v>
      </c>
      <c r="P709">
        <v>1</v>
      </c>
    </row>
    <row r="710" spans="1:16" x14ac:dyDescent="0.45">
      <c r="A710" t="s">
        <v>55</v>
      </c>
      <c r="B710" t="s">
        <v>25</v>
      </c>
      <c r="C710" t="s">
        <v>26</v>
      </c>
      <c r="D710" t="s">
        <v>49</v>
      </c>
      <c r="E710">
        <v>28</v>
      </c>
      <c r="F710">
        <v>40</v>
      </c>
      <c r="G710" t="s">
        <v>69</v>
      </c>
      <c r="H710" t="s">
        <v>41</v>
      </c>
      <c r="I710" s="24">
        <v>46074</v>
      </c>
      <c r="J710" t="s">
        <v>118</v>
      </c>
      <c r="K710" t="s">
        <v>117</v>
      </c>
      <c r="L710" t="s">
        <v>118</v>
      </c>
      <c r="M710">
        <v>0</v>
      </c>
      <c r="N710">
        <v>0</v>
      </c>
      <c r="O710">
        <v>5.7142857142857144</v>
      </c>
      <c r="P710">
        <v>0</v>
      </c>
    </row>
    <row r="711" spans="1:16" x14ac:dyDescent="0.45">
      <c r="A711" t="s">
        <v>56</v>
      </c>
      <c r="B711" t="s">
        <v>29</v>
      </c>
      <c r="C711" t="s">
        <v>29</v>
      </c>
      <c r="D711" t="s">
        <v>49</v>
      </c>
      <c r="E711">
        <v>20</v>
      </c>
      <c r="F711">
        <v>40</v>
      </c>
      <c r="G711" t="s">
        <v>69</v>
      </c>
      <c r="H711" t="s">
        <v>45</v>
      </c>
      <c r="I711" s="24">
        <v>46074</v>
      </c>
      <c r="J711" t="s">
        <v>118</v>
      </c>
      <c r="K711" t="s">
        <v>117</v>
      </c>
      <c r="L711" t="s">
        <v>118</v>
      </c>
      <c r="M711">
        <v>7.9999999999999982</v>
      </c>
      <c r="N711">
        <v>239.99999999999994</v>
      </c>
      <c r="O711">
        <v>5.7142857142857144</v>
      </c>
      <c r="P711">
        <v>1</v>
      </c>
    </row>
    <row r="712" spans="1:16" x14ac:dyDescent="0.45">
      <c r="A712" t="s">
        <v>57</v>
      </c>
      <c r="B712" t="s">
        <v>29</v>
      </c>
      <c r="C712" t="s">
        <v>29</v>
      </c>
      <c r="D712" t="s">
        <v>49</v>
      </c>
      <c r="E712">
        <v>20</v>
      </c>
      <c r="F712">
        <v>40</v>
      </c>
      <c r="G712" t="s">
        <v>69</v>
      </c>
      <c r="H712" t="s">
        <v>41</v>
      </c>
      <c r="I712" s="24">
        <v>46074</v>
      </c>
      <c r="J712" t="s">
        <v>118</v>
      </c>
      <c r="K712" t="s">
        <v>117</v>
      </c>
      <c r="L712" t="s">
        <v>118</v>
      </c>
      <c r="M712">
        <v>0</v>
      </c>
      <c r="N712">
        <v>0</v>
      </c>
      <c r="O712">
        <v>5.7142857142857144</v>
      </c>
      <c r="P712">
        <v>0</v>
      </c>
    </row>
    <row r="713" spans="1:16" x14ac:dyDescent="0.45">
      <c r="A713" t="s">
        <v>58</v>
      </c>
      <c r="B713" t="s">
        <v>29</v>
      </c>
      <c r="C713" t="s">
        <v>29</v>
      </c>
      <c r="D713" t="s">
        <v>49</v>
      </c>
      <c r="E713">
        <v>20</v>
      </c>
      <c r="F713">
        <v>40</v>
      </c>
      <c r="G713" t="s">
        <v>69</v>
      </c>
      <c r="H713" t="s">
        <v>44</v>
      </c>
      <c r="I713" s="24">
        <v>46074</v>
      </c>
      <c r="J713" t="s">
        <v>118</v>
      </c>
      <c r="K713" t="s">
        <v>117</v>
      </c>
      <c r="L713" t="s">
        <v>118</v>
      </c>
      <c r="M713">
        <v>8</v>
      </c>
      <c r="N713">
        <v>240</v>
      </c>
      <c r="O713">
        <v>5.7142857142857144</v>
      </c>
      <c r="P713">
        <v>1</v>
      </c>
    </row>
    <row r="714" spans="1:16" x14ac:dyDescent="0.45">
      <c r="A714" t="s">
        <v>59</v>
      </c>
      <c r="B714" t="s">
        <v>29</v>
      </c>
      <c r="C714" t="s">
        <v>29</v>
      </c>
      <c r="D714" t="s">
        <v>60</v>
      </c>
      <c r="E714">
        <v>15</v>
      </c>
      <c r="F714">
        <v>20</v>
      </c>
      <c r="G714" t="s">
        <v>69</v>
      </c>
      <c r="H714" t="s">
        <v>41</v>
      </c>
      <c r="I714" s="24">
        <v>46074</v>
      </c>
      <c r="J714" t="s">
        <v>118</v>
      </c>
      <c r="K714" t="s">
        <v>117</v>
      </c>
      <c r="L714" t="s">
        <v>118</v>
      </c>
      <c r="M714">
        <v>0</v>
      </c>
      <c r="N714">
        <v>0</v>
      </c>
      <c r="O714">
        <v>2.8571428571428572</v>
      </c>
      <c r="P714">
        <v>0</v>
      </c>
    </row>
    <row r="715" spans="1:16" x14ac:dyDescent="0.45">
      <c r="A715" t="s">
        <v>61</v>
      </c>
      <c r="B715" t="s">
        <v>29</v>
      </c>
      <c r="C715" t="s">
        <v>29</v>
      </c>
      <c r="D715" t="s">
        <v>60</v>
      </c>
      <c r="E715">
        <v>15</v>
      </c>
      <c r="F715">
        <v>20</v>
      </c>
      <c r="G715" t="s">
        <v>69</v>
      </c>
      <c r="H715" t="s">
        <v>41</v>
      </c>
      <c r="I715" s="24">
        <v>46074</v>
      </c>
      <c r="J715" t="s">
        <v>118</v>
      </c>
      <c r="K715" t="s">
        <v>117</v>
      </c>
      <c r="L715" t="s">
        <v>118</v>
      </c>
      <c r="M715">
        <v>0</v>
      </c>
      <c r="N715">
        <v>0</v>
      </c>
      <c r="O715">
        <v>2.8571428571428572</v>
      </c>
      <c r="P715">
        <v>0</v>
      </c>
    </row>
    <row r="716" spans="1:16" x14ac:dyDescent="0.45">
      <c r="A716" t="s">
        <v>62</v>
      </c>
      <c r="B716" t="s">
        <v>29</v>
      </c>
      <c r="C716" t="s">
        <v>29</v>
      </c>
      <c r="D716" t="s">
        <v>60</v>
      </c>
      <c r="E716">
        <v>15</v>
      </c>
      <c r="F716">
        <v>20</v>
      </c>
      <c r="G716" t="s">
        <v>69</v>
      </c>
      <c r="H716" t="s">
        <v>40</v>
      </c>
      <c r="I716" s="24">
        <v>46074</v>
      </c>
      <c r="J716" t="s">
        <v>118</v>
      </c>
      <c r="K716" t="s">
        <v>117</v>
      </c>
      <c r="L716" t="s">
        <v>118</v>
      </c>
      <c r="M716">
        <v>5</v>
      </c>
      <c r="N716">
        <v>112.5</v>
      </c>
      <c r="O716">
        <v>2.8571428571428572</v>
      </c>
      <c r="P716">
        <v>1</v>
      </c>
    </row>
    <row r="717" spans="1:16" x14ac:dyDescent="0.45">
      <c r="A717" t="s">
        <v>48</v>
      </c>
      <c r="B717" t="s">
        <v>30</v>
      </c>
      <c r="C717" t="s">
        <v>28</v>
      </c>
      <c r="D717" t="s">
        <v>49</v>
      </c>
      <c r="E717">
        <v>30</v>
      </c>
      <c r="F717">
        <v>40</v>
      </c>
      <c r="G717" t="s">
        <v>70</v>
      </c>
      <c r="H717" t="s">
        <v>41</v>
      </c>
      <c r="I717" s="24">
        <v>46075</v>
      </c>
      <c r="J717" t="s">
        <v>118</v>
      </c>
      <c r="K717" t="s">
        <v>117</v>
      </c>
      <c r="L717" t="s">
        <v>118</v>
      </c>
      <c r="M717">
        <v>0</v>
      </c>
      <c r="N717">
        <v>0</v>
      </c>
      <c r="O717">
        <v>5.7142857142857144</v>
      </c>
      <c r="P717">
        <v>0</v>
      </c>
    </row>
    <row r="718" spans="1:16" x14ac:dyDescent="0.45">
      <c r="A718" t="s">
        <v>50</v>
      </c>
      <c r="B718" t="s">
        <v>27</v>
      </c>
      <c r="C718" t="s">
        <v>28</v>
      </c>
      <c r="D718" t="s">
        <v>49</v>
      </c>
      <c r="E718">
        <v>25</v>
      </c>
      <c r="F718">
        <v>40</v>
      </c>
      <c r="G718" t="s">
        <v>70</v>
      </c>
      <c r="H718" t="s">
        <v>37</v>
      </c>
      <c r="I718" s="24">
        <v>46075</v>
      </c>
      <c r="J718" t="s">
        <v>118</v>
      </c>
      <c r="K718" t="s">
        <v>117</v>
      </c>
      <c r="L718" t="s">
        <v>118</v>
      </c>
      <c r="M718">
        <v>7</v>
      </c>
      <c r="N718">
        <v>262.5</v>
      </c>
      <c r="O718">
        <v>5.7142857142857144</v>
      </c>
      <c r="P718">
        <v>1</v>
      </c>
    </row>
    <row r="719" spans="1:16" x14ac:dyDescent="0.45">
      <c r="A719" t="s">
        <v>51</v>
      </c>
      <c r="B719" t="s">
        <v>27</v>
      </c>
      <c r="C719" t="s">
        <v>28</v>
      </c>
      <c r="D719" t="s">
        <v>49</v>
      </c>
      <c r="E719">
        <v>25</v>
      </c>
      <c r="F719">
        <v>40</v>
      </c>
      <c r="G719" t="s">
        <v>70</v>
      </c>
      <c r="H719" t="s">
        <v>35</v>
      </c>
      <c r="I719" s="24">
        <v>46075</v>
      </c>
      <c r="J719" t="s">
        <v>118</v>
      </c>
      <c r="K719" t="s">
        <v>117</v>
      </c>
      <c r="L719" t="s">
        <v>118</v>
      </c>
      <c r="M719">
        <v>7</v>
      </c>
      <c r="N719">
        <v>262.5</v>
      </c>
      <c r="O719">
        <v>5.7142857142857144</v>
      </c>
      <c r="P719">
        <v>1</v>
      </c>
    </row>
    <row r="720" spans="1:16" x14ac:dyDescent="0.45">
      <c r="A720" t="s">
        <v>52</v>
      </c>
      <c r="B720" t="s">
        <v>26</v>
      </c>
      <c r="C720" t="s">
        <v>26</v>
      </c>
      <c r="D720" t="s">
        <v>49</v>
      </c>
      <c r="E720">
        <v>35</v>
      </c>
      <c r="F720">
        <v>40</v>
      </c>
      <c r="G720" t="s">
        <v>70</v>
      </c>
      <c r="H720" t="s">
        <v>41</v>
      </c>
      <c r="I720" s="24">
        <v>46075</v>
      </c>
      <c r="J720" t="s">
        <v>118</v>
      </c>
      <c r="K720" t="s">
        <v>117</v>
      </c>
      <c r="L720" t="s">
        <v>118</v>
      </c>
      <c r="M720">
        <v>0</v>
      </c>
      <c r="N720">
        <v>0</v>
      </c>
      <c r="O720">
        <v>5.7142857142857144</v>
      </c>
      <c r="P720">
        <v>0</v>
      </c>
    </row>
    <row r="721" spans="1:16" x14ac:dyDescent="0.45">
      <c r="A721" t="s">
        <v>53</v>
      </c>
      <c r="B721" t="s">
        <v>26</v>
      </c>
      <c r="C721" t="s">
        <v>26</v>
      </c>
      <c r="D721" t="s">
        <v>49</v>
      </c>
      <c r="E721">
        <v>35</v>
      </c>
      <c r="F721">
        <v>40</v>
      </c>
      <c r="G721" t="s">
        <v>70</v>
      </c>
      <c r="H721" t="s">
        <v>42</v>
      </c>
      <c r="I721" s="24">
        <v>46075</v>
      </c>
      <c r="J721" t="s">
        <v>118</v>
      </c>
      <c r="K721" t="s">
        <v>117</v>
      </c>
      <c r="L721" t="s">
        <v>118</v>
      </c>
      <c r="M721">
        <v>7.9999999999999982</v>
      </c>
      <c r="N721">
        <v>419.99999999999989</v>
      </c>
      <c r="O721">
        <v>5.7142857142857144</v>
      </c>
      <c r="P721">
        <v>1</v>
      </c>
    </row>
    <row r="722" spans="1:16" x14ac:dyDescent="0.45">
      <c r="A722" t="s">
        <v>54</v>
      </c>
      <c r="B722" t="s">
        <v>25</v>
      </c>
      <c r="C722" t="s">
        <v>26</v>
      </c>
      <c r="D722" t="s">
        <v>49</v>
      </c>
      <c r="E722">
        <v>28</v>
      </c>
      <c r="F722">
        <v>40</v>
      </c>
      <c r="G722" t="s">
        <v>70</v>
      </c>
      <c r="H722" t="s">
        <v>44</v>
      </c>
      <c r="I722" s="24">
        <v>46075</v>
      </c>
      <c r="J722" t="s">
        <v>118</v>
      </c>
      <c r="K722" t="s">
        <v>117</v>
      </c>
      <c r="L722" t="s">
        <v>118</v>
      </c>
      <c r="M722">
        <v>8</v>
      </c>
      <c r="N722">
        <v>336</v>
      </c>
      <c r="O722">
        <v>5.7142857142857144</v>
      </c>
      <c r="P722">
        <v>1</v>
      </c>
    </row>
    <row r="723" spans="1:16" x14ac:dyDescent="0.45">
      <c r="A723" t="s">
        <v>55</v>
      </c>
      <c r="B723" t="s">
        <v>25</v>
      </c>
      <c r="C723" t="s">
        <v>26</v>
      </c>
      <c r="D723" t="s">
        <v>49</v>
      </c>
      <c r="E723">
        <v>28</v>
      </c>
      <c r="F723">
        <v>40</v>
      </c>
      <c r="G723" t="s">
        <v>70</v>
      </c>
      <c r="H723" t="s">
        <v>41</v>
      </c>
      <c r="I723" s="24">
        <v>46075</v>
      </c>
      <c r="J723" t="s">
        <v>118</v>
      </c>
      <c r="K723" t="s">
        <v>117</v>
      </c>
      <c r="L723" t="s">
        <v>118</v>
      </c>
      <c r="M723">
        <v>0</v>
      </c>
      <c r="N723">
        <v>0</v>
      </c>
      <c r="O723">
        <v>5.7142857142857144</v>
      </c>
      <c r="P723">
        <v>0</v>
      </c>
    </row>
    <row r="724" spans="1:16" x14ac:dyDescent="0.45">
      <c r="A724" t="s">
        <v>56</v>
      </c>
      <c r="B724" t="s">
        <v>29</v>
      </c>
      <c r="C724" t="s">
        <v>29</v>
      </c>
      <c r="D724" t="s">
        <v>49</v>
      </c>
      <c r="E724">
        <v>20</v>
      </c>
      <c r="F724">
        <v>40</v>
      </c>
      <c r="G724" t="s">
        <v>70</v>
      </c>
      <c r="H724" t="s">
        <v>45</v>
      </c>
      <c r="I724" s="24">
        <v>46075</v>
      </c>
      <c r="J724" t="s">
        <v>118</v>
      </c>
      <c r="K724" t="s">
        <v>117</v>
      </c>
      <c r="L724" t="s">
        <v>118</v>
      </c>
      <c r="M724">
        <v>7.9999999999999982</v>
      </c>
      <c r="N724">
        <v>239.99999999999994</v>
      </c>
      <c r="O724">
        <v>5.7142857142857144</v>
      </c>
      <c r="P724">
        <v>1</v>
      </c>
    </row>
    <row r="725" spans="1:16" x14ac:dyDescent="0.45">
      <c r="A725" t="s">
        <v>57</v>
      </c>
      <c r="B725" t="s">
        <v>29</v>
      </c>
      <c r="C725" t="s">
        <v>29</v>
      </c>
      <c r="D725" t="s">
        <v>49</v>
      </c>
      <c r="E725">
        <v>20</v>
      </c>
      <c r="F725">
        <v>40</v>
      </c>
      <c r="G725" t="s">
        <v>70</v>
      </c>
      <c r="H725" t="s">
        <v>41</v>
      </c>
      <c r="I725" s="24">
        <v>46075</v>
      </c>
      <c r="J725" t="s">
        <v>118</v>
      </c>
      <c r="K725" t="s">
        <v>117</v>
      </c>
      <c r="L725" t="s">
        <v>118</v>
      </c>
      <c r="M725">
        <v>0</v>
      </c>
      <c r="N725">
        <v>0</v>
      </c>
      <c r="O725">
        <v>5.7142857142857144</v>
      </c>
      <c r="P725">
        <v>0</v>
      </c>
    </row>
    <row r="726" spans="1:16" x14ac:dyDescent="0.45">
      <c r="A726" t="s">
        <v>58</v>
      </c>
      <c r="B726" t="s">
        <v>29</v>
      </c>
      <c r="C726" t="s">
        <v>29</v>
      </c>
      <c r="D726" t="s">
        <v>49</v>
      </c>
      <c r="E726">
        <v>20</v>
      </c>
      <c r="F726">
        <v>40</v>
      </c>
      <c r="G726" t="s">
        <v>70</v>
      </c>
      <c r="H726" t="s">
        <v>44</v>
      </c>
      <c r="I726" s="24">
        <v>46075</v>
      </c>
      <c r="J726" t="s">
        <v>118</v>
      </c>
      <c r="K726" t="s">
        <v>117</v>
      </c>
      <c r="L726" t="s">
        <v>118</v>
      </c>
      <c r="M726">
        <v>8</v>
      </c>
      <c r="N726">
        <v>240</v>
      </c>
      <c r="O726">
        <v>5.7142857142857144</v>
      </c>
      <c r="P726">
        <v>1</v>
      </c>
    </row>
    <row r="727" spans="1:16" x14ac:dyDescent="0.45">
      <c r="A727" t="s">
        <v>59</v>
      </c>
      <c r="B727" t="s">
        <v>29</v>
      </c>
      <c r="C727" t="s">
        <v>29</v>
      </c>
      <c r="D727" t="s">
        <v>60</v>
      </c>
      <c r="E727">
        <v>15</v>
      </c>
      <c r="F727">
        <v>20</v>
      </c>
      <c r="G727" t="s">
        <v>70</v>
      </c>
      <c r="H727" t="s">
        <v>41</v>
      </c>
      <c r="I727" s="24">
        <v>46075</v>
      </c>
      <c r="J727" t="s">
        <v>118</v>
      </c>
      <c r="K727" t="s">
        <v>117</v>
      </c>
      <c r="L727" t="s">
        <v>118</v>
      </c>
      <c r="M727">
        <v>0</v>
      </c>
      <c r="N727">
        <v>0</v>
      </c>
      <c r="O727">
        <v>2.8571428571428572</v>
      </c>
      <c r="P727">
        <v>0</v>
      </c>
    </row>
    <row r="728" spans="1:16" x14ac:dyDescent="0.45">
      <c r="A728" t="s">
        <v>61</v>
      </c>
      <c r="B728" t="s">
        <v>29</v>
      </c>
      <c r="C728" t="s">
        <v>29</v>
      </c>
      <c r="D728" t="s">
        <v>60</v>
      </c>
      <c r="E728">
        <v>15</v>
      </c>
      <c r="F728">
        <v>20</v>
      </c>
      <c r="G728" t="s">
        <v>70</v>
      </c>
      <c r="H728" t="s">
        <v>41</v>
      </c>
      <c r="I728" s="24">
        <v>46075</v>
      </c>
      <c r="J728" t="s">
        <v>118</v>
      </c>
      <c r="K728" t="s">
        <v>117</v>
      </c>
      <c r="L728" t="s">
        <v>118</v>
      </c>
      <c r="M728">
        <v>0</v>
      </c>
      <c r="N728">
        <v>0</v>
      </c>
      <c r="O728">
        <v>2.8571428571428572</v>
      </c>
      <c r="P728">
        <v>0</v>
      </c>
    </row>
    <row r="729" spans="1:16" x14ac:dyDescent="0.45">
      <c r="A729" t="s">
        <v>62</v>
      </c>
      <c r="B729" t="s">
        <v>29</v>
      </c>
      <c r="C729" t="s">
        <v>29</v>
      </c>
      <c r="D729" t="s">
        <v>60</v>
      </c>
      <c r="E729">
        <v>15</v>
      </c>
      <c r="F729">
        <v>20</v>
      </c>
      <c r="G729" t="s">
        <v>70</v>
      </c>
      <c r="H729" t="s">
        <v>46</v>
      </c>
      <c r="I729" s="24">
        <v>46075</v>
      </c>
      <c r="J729" t="s">
        <v>118</v>
      </c>
      <c r="K729" t="s">
        <v>117</v>
      </c>
      <c r="L729" t="s">
        <v>118</v>
      </c>
      <c r="M729">
        <v>4.9999999999999982</v>
      </c>
      <c r="N729">
        <v>112.49999999999996</v>
      </c>
      <c r="O729">
        <v>2.8571428571428572</v>
      </c>
      <c r="P729">
        <v>1</v>
      </c>
    </row>
    <row r="730" spans="1:16" x14ac:dyDescent="0.45">
      <c r="A730" t="s">
        <v>48</v>
      </c>
      <c r="B730" t="s">
        <v>30</v>
      </c>
      <c r="C730" t="s">
        <v>28</v>
      </c>
      <c r="D730" t="s">
        <v>49</v>
      </c>
      <c r="E730">
        <v>30</v>
      </c>
      <c r="F730">
        <v>40</v>
      </c>
      <c r="G730" t="s">
        <v>64</v>
      </c>
      <c r="H730" t="s">
        <v>35</v>
      </c>
      <c r="I730" s="24">
        <v>46076</v>
      </c>
      <c r="J730" t="s">
        <v>117</v>
      </c>
      <c r="K730" t="s">
        <v>117</v>
      </c>
      <c r="L730" t="s">
        <v>117</v>
      </c>
      <c r="M730">
        <v>7</v>
      </c>
      <c r="N730">
        <v>210</v>
      </c>
      <c r="O730">
        <v>5.7142857142857144</v>
      </c>
      <c r="P730">
        <v>0</v>
      </c>
    </row>
    <row r="731" spans="1:16" x14ac:dyDescent="0.45">
      <c r="A731" t="s">
        <v>50</v>
      </c>
      <c r="B731" t="s">
        <v>27</v>
      </c>
      <c r="C731" t="s">
        <v>28</v>
      </c>
      <c r="D731" t="s">
        <v>49</v>
      </c>
      <c r="E731">
        <v>25</v>
      </c>
      <c r="F731">
        <v>40</v>
      </c>
      <c r="G731" t="s">
        <v>64</v>
      </c>
      <c r="H731" t="s">
        <v>37</v>
      </c>
      <c r="I731" s="24">
        <v>46076</v>
      </c>
      <c r="J731" t="s">
        <v>117</v>
      </c>
      <c r="K731" t="s">
        <v>117</v>
      </c>
      <c r="L731" t="s">
        <v>117</v>
      </c>
      <c r="M731">
        <v>7</v>
      </c>
      <c r="N731">
        <v>175</v>
      </c>
      <c r="O731">
        <v>5.7142857142857144</v>
      </c>
      <c r="P731">
        <v>0</v>
      </c>
    </row>
    <row r="732" spans="1:16" x14ac:dyDescent="0.45">
      <c r="A732" t="s">
        <v>51</v>
      </c>
      <c r="B732" t="s">
        <v>27</v>
      </c>
      <c r="C732" t="s">
        <v>28</v>
      </c>
      <c r="D732" t="s">
        <v>49</v>
      </c>
      <c r="E732">
        <v>25</v>
      </c>
      <c r="F732">
        <v>40</v>
      </c>
      <c r="G732" t="s">
        <v>64</v>
      </c>
      <c r="H732" t="s">
        <v>41</v>
      </c>
      <c r="I732" s="24">
        <v>46076</v>
      </c>
      <c r="J732" t="s">
        <v>117</v>
      </c>
      <c r="K732" t="s">
        <v>117</v>
      </c>
      <c r="L732" t="s">
        <v>117</v>
      </c>
      <c r="M732">
        <v>0</v>
      </c>
      <c r="N732">
        <v>0</v>
      </c>
      <c r="O732">
        <v>5.7142857142857144</v>
      </c>
      <c r="P732">
        <v>0</v>
      </c>
    </row>
    <row r="733" spans="1:16" x14ac:dyDescent="0.45">
      <c r="A733" t="s">
        <v>52</v>
      </c>
      <c r="B733" t="s">
        <v>26</v>
      </c>
      <c r="C733" t="s">
        <v>26</v>
      </c>
      <c r="D733" t="s">
        <v>49</v>
      </c>
      <c r="E733">
        <v>35</v>
      </c>
      <c r="F733">
        <v>40</v>
      </c>
      <c r="G733" t="s">
        <v>64</v>
      </c>
      <c r="H733" t="s">
        <v>42</v>
      </c>
      <c r="I733" s="24">
        <v>46076</v>
      </c>
      <c r="J733" t="s">
        <v>117</v>
      </c>
      <c r="K733" t="s">
        <v>117</v>
      </c>
      <c r="L733" t="s">
        <v>117</v>
      </c>
      <c r="M733">
        <v>8</v>
      </c>
      <c r="N733">
        <v>280</v>
      </c>
      <c r="O733">
        <v>5.7142857142857144</v>
      </c>
      <c r="P733">
        <v>0</v>
      </c>
    </row>
    <row r="734" spans="1:16" x14ac:dyDescent="0.45">
      <c r="A734" t="s">
        <v>53</v>
      </c>
      <c r="B734" t="s">
        <v>26</v>
      </c>
      <c r="C734" t="s">
        <v>26</v>
      </c>
      <c r="D734" t="s">
        <v>49</v>
      </c>
      <c r="E734">
        <v>35</v>
      </c>
      <c r="F734">
        <v>40</v>
      </c>
      <c r="G734" t="s">
        <v>64</v>
      </c>
      <c r="H734" t="s">
        <v>44</v>
      </c>
      <c r="I734" s="24">
        <v>46076</v>
      </c>
      <c r="J734" t="s">
        <v>117</v>
      </c>
      <c r="K734" t="s">
        <v>117</v>
      </c>
      <c r="L734" t="s">
        <v>117</v>
      </c>
      <c r="M734">
        <v>8</v>
      </c>
      <c r="N734">
        <v>280</v>
      </c>
      <c r="O734">
        <v>5.7142857142857144</v>
      </c>
      <c r="P734">
        <v>0</v>
      </c>
    </row>
    <row r="735" spans="1:16" x14ac:dyDescent="0.45">
      <c r="A735" t="s">
        <v>54</v>
      </c>
      <c r="B735" t="s">
        <v>25</v>
      </c>
      <c r="C735" t="s">
        <v>26</v>
      </c>
      <c r="D735" t="s">
        <v>49</v>
      </c>
      <c r="E735">
        <v>28</v>
      </c>
      <c r="F735">
        <v>40</v>
      </c>
      <c r="G735" t="s">
        <v>64</v>
      </c>
      <c r="H735" t="s">
        <v>41</v>
      </c>
      <c r="I735" s="24">
        <v>46076</v>
      </c>
      <c r="J735" t="s">
        <v>117</v>
      </c>
      <c r="K735" t="s">
        <v>117</v>
      </c>
      <c r="L735" t="s">
        <v>117</v>
      </c>
      <c r="M735">
        <v>0</v>
      </c>
      <c r="N735">
        <v>0</v>
      </c>
      <c r="O735">
        <v>5.7142857142857144</v>
      </c>
      <c r="P735">
        <v>0</v>
      </c>
    </row>
    <row r="736" spans="1:16" x14ac:dyDescent="0.45">
      <c r="A736" t="s">
        <v>55</v>
      </c>
      <c r="B736" t="s">
        <v>25</v>
      </c>
      <c r="C736" t="s">
        <v>26</v>
      </c>
      <c r="D736" t="s">
        <v>49</v>
      </c>
      <c r="E736">
        <v>28</v>
      </c>
      <c r="F736">
        <v>40</v>
      </c>
      <c r="G736" t="s">
        <v>64</v>
      </c>
      <c r="H736" t="s">
        <v>44</v>
      </c>
      <c r="I736" s="24">
        <v>46076</v>
      </c>
      <c r="J736" t="s">
        <v>117</v>
      </c>
      <c r="K736" t="s">
        <v>117</v>
      </c>
      <c r="L736" t="s">
        <v>117</v>
      </c>
      <c r="M736">
        <v>8</v>
      </c>
      <c r="N736">
        <v>224</v>
      </c>
      <c r="O736">
        <v>5.7142857142857144</v>
      </c>
      <c r="P736">
        <v>0</v>
      </c>
    </row>
    <row r="737" spans="1:16" x14ac:dyDescent="0.45">
      <c r="A737" t="s">
        <v>56</v>
      </c>
      <c r="B737" t="s">
        <v>29</v>
      </c>
      <c r="C737" t="s">
        <v>29</v>
      </c>
      <c r="D737" t="s">
        <v>49</v>
      </c>
      <c r="E737">
        <v>20</v>
      </c>
      <c r="F737">
        <v>40</v>
      </c>
      <c r="G737" t="s">
        <v>64</v>
      </c>
      <c r="H737" t="s">
        <v>45</v>
      </c>
      <c r="I737" s="24">
        <v>46076</v>
      </c>
      <c r="J737" t="s">
        <v>117</v>
      </c>
      <c r="K737" t="s">
        <v>117</v>
      </c>
      <c r="L737" t="s">
        <v>117</v>
      </c>
      <c r="M737">
        <v>8</v>
      </c>
      <c r="N737">
        <v>160</v>
      </c>
      <c r="O737">
        <v>5.7142857142857144</v>
      </c>
      <c r="P737">
        <v>0</v>
      </c>
    </row>
    <row r="738" spans="1:16" x14ac:dyDescent="0.45">
      <c r="A738" t="s">
        <v>57</v>
      </c>
      <c r="B738" t="s">
        <v>29</v>
      </c>
      <c r="C738" t="s">
        <v>29</v>
      </c>
      <c r="D738" t="s">
        <v>49</v>
      </c>
      <c r="E738">
        <v>20</v>
      </c>
      <c r="F738">
        <v>40</v>
      </c>
      <c r="G738" t="s">
        <v>64</v>
      </c>
      <c r="H738" t="s">
        <v>44</v>
      </c>
      <c r="I738" s="24">
        <v>46076</v>
      </c>
      <c r="J738" t="s">
        <v>117</v>
      </c>
      <c r="K738" t="s">
        <v>117</v>
      </c>
      <c r="L738" t="s">
        <v>117</v>
      </c>
      <c r="M738">
        <v>8</v>
      </c>
      <c r="N738">
        <v>160</v>
      </c>
      <c r="O738">
        <v>5.7142857142857144</v>
      </c>
      <c r="P738">
        <v>0</v>
      </c>
    </row>
    <row r="739" spans="1:16" x14ac:dyDescent="0.45">
      <c r="A739" t="s">
        <v>58</v>
      </c>
      <c r="B739" t="s">
        <v>29</v>
      </c>
      <c r="C739" t="s">
        <v>29</v>
      </c>
      <c r="D739" t="s">
        <v>49</v>
      </c>
      <c r="E739">
        <v>20</v>
      </c>
      <c r="F739">
        <v>40</v>
      </c>
      <c r="G739" t="s">
        <v>64</v>
      </c>
      <c r="H739" t="s">
        <v>41</v>
      </c>
      <c r="I739" s="24">
        <v>46076</v>
      </c>
      <c r="J739" t="s">
        <v>117</v>
      </c>
      <c r="K739" t="s">
        <v>117</v>
      </c>
      <c r="L739" t="s">
        <v>117</v>
      </c>
      <c r="M739">
        <v>0</v>
      </c>
      <c r="N739">
        <v>0</v>
      </c>
      <c r="O739">
        <v>5.7142857142857144</v>
      </c>
      <c r="P739">
        <v>0</v>
      </c>
    </row>
    <row r="740" spans="1:16" x14ac:dyDescent="0.45">
      <c r="A740" t="s">
        <v>59</v>
      </c>
      <c r="B740" t="s">
        <v>29</v>
      </c>
      <c r="C740" t="s">
        <v>29</v>
      </c>
      <c r="D740" t="s">
        <v>60</v>
      </c>
      <c r="E740">
        <v>15</v>
      </c>
      <c r="F740">
        <v>20</v>
      </c>
      <c r="G740" t="s">
        <v>64</v>
      </c>
      <c r="H740" t="s">
        <v>41</v>
      </c>
      <c r="I740" s="24">
        <v>46076</v>
      </c>
      <c r="J740" t="s">
        <v>117</v>
      </c>
      <c r="K740" t="s">
        <v>117</v>
      </c>
      <c r="L740" t="s">
        <v>117</v>
      </c>
      <c r="M740">
        <v>0</v>
      </c>
      <c r="N740">
        <v>0</v>
      </c>
      <c r="O740">
        <v>2.8571428571428572</v>
      </c>
      <c r="P740">
        <v>0</v>
      </c>
    </row>
    <row r="741" spans="1:16" x14ac:dyDescent="0.45">
      <c r="A741" t="s">
        <v>61</v>
      </c>
      <c r="B741" t="s">
        <v>29</v>
      </c>
      <c r="C741" t="s">
        <v>29</v>
      </c>
      <c r="D741" t="s">
        <v>60</v>
      </c>
      <c r="E741">
        <v>15</v>
      </c>
      <c r="F741">
        <v>20</v>
      </c>
      <c r="G741" t="s">
        <v>64</v>
      </c>
      <c r="H741" t="s">
        <v>46</v>
      </c>
      <c r="I741" s="24">
        <v>46076</v>
      </c>
      <c r="J741" t="s">
        <v>117</v>
      </c>
      <c r="K741" t="s">
        <v>117</v>
      </c>
      <c r="L741" t="s">
        <v>117</v>
      </c>
      <c r="M741">
        <v>5</v>
      </c>
      <c r="N741">
        <v>75</v>
      </c>
      <c r="O741">
        <v>2.8571428571428572</v>
      </c>
      <c r="P741">
        <v>0</v>
      </c>
    </row>
    <row r="742" spans="1:16" x14ac:dyDescent="0.45">
      <c r="A742" t="s">
        <v>62</v>
      </c>
      <c r="B742" t="s">
        <v>29</v>
      </c>
      <c r="C742" t="s">
        <v>29</v>
      </c>
      <c r="D742" t="s">
        <v>60</v>
      </c>
      <c r="E742">
        <v>15</v>
      </c>
      <c r="F742">
        <v>20</v>
      </c>
      <c r="G742" t="s">
        <v>64</v>
      </c>
      <c r="H742" t="s">
        <v>40</v>
      </c>
      <c r="I742" s="24">
        <v>46076</v>
      </c>
      <c r="J742" t="s">
        <v>117</v>
      </c>
      <c r="K742" t="s">
        <v>117</v>
      </c>
      <c r="L742" t="s">
        <v>117</v>
      </c>
      <c r="M742">
        <v>5</v>
      </c>
      <c r="N742">
        <v>75</v>
      </c>
      <c r="O742">
        <v>2.8571428571428572</v>
      </c>
      <c r="P742">
        <v>0</v>
      </c>
    </row>
    <row r="743" spans="1:16" x14ac:dyDescent="0.45">
      <c r="A743" t="s">
        <v>48</v>
      </c>
      <c r="B743" t="s">
        <v>30</v>
      </c>
      <c r="C743" t="s">
        <v>28</v>
      </c>
      <c r="D743" t="s">
        <v>49</v>
      </c>
      <c r="E743">
        <v>30</v>
      </c>
      <c r="F743">
        <v>40</v>
      </c>
      <c r="G743" t="s">
        <v>65</v>
      </c>
      <c r="H743" t="s">
        <v>35</v>
      </c>
      <c r="I743" s="24">
        <v>46077</v>
      </c>
      <c r="J743" t="s">
        <v>117</v>
      </c>
      <c r="K743" t="s">
        <v>117</v>
      </c>
      <c r="L743" t="s">
        <v>117</v>
      </c>
      <c r="M743">
        <v>7</v>
      </c>
      <c r="N743">
        <v>210</v>
      </c>
      <c r="O743">
        <v>5.7142857142857144</v>
      </c>
      <c r="P743">
        <v>0</v>
      </c>
    </row>
    <row r="744" spans="1:16" x14ac:dyDescent="0.45">
      <c r="A744" t="s">
        <v>50</v>
      </c>
      <c r="B744" t="s">
        <v>27</v>
      </c>
      <c r="C744" t="s">
        <v>28</v>
      </c>
      <c r="D744" t="s">
        <v>49</v>
      </c>
      <c r="E744">
        <v>25</v>
      </c>
      <c r="F744">
        <v>40</v>
      </c>
      <c r="G744" t="s">
        <v>65</v>
      </c>
      <c r="H744" t="s">
        <v>37</v>
      </c>
      <c r="I744" s="24">
        <v>46077</v>
      </c>
      <c r="J744" t="s">
        <v>117</v>
      </c>
      <c r="K744" t="s">
        <v>117</v>
      </c>
      <c r="L744" t="s">
        <v>117</v>
      </c>
      <c r="M744">
        <v>7</v>
      </c>
      <c r="N744">
        <v>175</v>
      </c>
      <c r="O744">
        <v>5.7142857142857144</v>
      </c>
      <c r="P744">
        <v>0</v>
      </c>
    </row>
    <row r="745" spans="1:16" x14ac:dyDescent="0.45">
      <c r="A745" t="s">
        <v>51</v>
      </c>
      <c r="B745" t="s">
        <v>27</v>
      </c>
      <c r="C745" t="s">
        <v>28</v>
      </c>
      <c r="D745" t="s">
        <v>49</v>
      </c>
      <c r="E745">
        <v>25</v>
      </c>
      <c r="F745">
        <v>40</v>
      </c>
      <c r="G745" t="s">
        <v>65</v>
      </c>
      <c r="H745" t="s">
        <v>35</v>
      </c>
      <c r="I745" s="24">
        <v>46077</v>
      </c>
      <c r="J745" t="s">
        <v>117</v>
      </c>
      <c r="K745" t="s">
        <v>117</v>
      </c>
      <c r="L745" t="s">
        <v>117</v>
      </c>
      <c r="M745">
        <v>7</v>
      </c>
      <c r="N745">
        <v>175</v>
      </c>
      <c r="O745">
        <v>5.7142857142857144</v>
      </c>
      <c r="P745">
        <v>0</v>
      </c>
    </row>
    <row r="746" spans="1:16" x14ac:dyDescent="0.45">
      <c r="A746" t="s">
        <v>52</v>
      </c>
      <c r="B746" t="s">
        <v>26</v>
      </c>
      <c r="C746" t="s">
        <v>26</v>
      </c>
      <c r="D746" t="s">
        <v>49</v>
      </c>
      <c r="E746">
        <v>35</v>
      </c>
      <c r="F746">
        <v>40</v>
      </c>
      <c r="G746" t="s">
        <v>65</v>
      </c>
      <c r="H746" t="s">
        <v>42</v>
      </c>
      <c r="I746" s="24">
        <v>46077</v>
      </c>
      <c r="J746" t="s">
        <v>117</v>
      </c>
      <c r="K746" t="s">
        <v>117</v>
      </c>
      <c r="L746" t="s">
        <v>117</v>
      </c>
      <c r="M746">
        <v>8</v>
      </c>
      <c r="N746">
        <v>280</v>
      </c>
      <c r="O746">
        <v>5.7142857142857144</v>
      </c>
      <c r="P746">
        <v>0</v>
      </c>
    </row>
    <row r="747" spans="1:16" x14ac:dyDescent="0.45">
      <c r="A747" t="s">
        <v>53</v>
      </c>
      <c r="B747" t="s">
        <v>26</v>
      </c>
      <c r="C747" t="s">
        <v>26</v>
      </c>
      <c r="D747" t="s">
        <v>49</v>
      </c>
      <c r="E747">
        <v>35</v>
      </c>
      <c r="F747">
        <v>40</v>
      </c>
      <c r="G747" t="s">
        <v>65</v>
      </c>
      <c r="H747" t="s">
        <v>44</v>
      </c>
      <c r="I747" s="24">
        <v>46077</v>
      </c>
      <c r="J747" t="s">
        <v>117</v>
      </c>
      <c r="K747" t="s">
        <v>117</v>
      </c>
      <c r="L747" t="s">
        <v>117</v>
      </c>
      <c r="M747">
        <v>8</v>
      </c>
      <c r="N747">
        <v>280</v>
      </c>
      <c r="O747">
        <v>5.7142857142857144</v>
      </c>
      <c r="P747">
        <v>0</v>
      </c>
    </row>
    <row r="748" spans="1:16" x14ac:dyDescent="0.45">
      <c r="A748" t="s">
        <v>54</v>
      </c>
      <c r="B748" t="s">
        <v>25</v>
      </c>
      <c r="C748" t="s">
        <v>26</v>
      </c>
      <c r="D748" t="s">
        <v>49</v>
      </c>
      <c r="E748">
        <v>28</v>
      </c>
      <c r="F748">
        <v>40</v>
      </c>
      <c r="G748" t="s">
        <v>65</v>
      </c>
      <c r="H748" t="s">
        <v>41</v>
      </c>
      <c r="I748" s="24">
        <v>46077</v>
      </c>
      <c r="J748" t="s">
        <v>117</v>
      </c>
      <c r="K748" t="s">
        <v>117</v>
      </c>
      <c r="L748" t="s">
        <v>117</v>
      </c>
      <c r="M748">
        <v>0</v>
      </c>
      <c r="N748">
        <v>0</v>
      </c>
      <c r="O748">
        <v>5.7142857142857144</v>
      </c>
      <c r="P748">
        <v>0</v>
      </c>
    </row>
    <row r="749" spans="1:16" x14ac:dyDescent="0.45">
      <c r="A749" t="s">
        <v>55</v>
      </c>
      <c r="B749" t="s">
        <v>25</v>
      </c>
      <c r="C749" t="s">
        <v>26</v>
      </c>
      <c r="D749" t="s">
        <v>49</v>
      </c>
      <c r="E749">
        <v>28</v>
      </c>
      <c r="F749">
        <v>40</v>
      </c>
      <c r="G749" t="s">
        <v>65</v>
      </c>
      <c r="H749" t="s">
        <v>44</v>
      </c>
      <c r="I749" s="24">
        <v>46077</v>
      </c>
      <c r="J749" t="s">
        <v>117</v>
      </c>
      <c r="K749" t="s">
        <v>117</v>
      </c>
      <c r="L749" t="s">
        <v>117</v>
      </c>
      <c r="M749">
        <v>8</v>
      </c>
      <c r="N749">
        <v>224</v>
      </c>
      <c r="O749">
        <v>5.7142857142857144</v>
      </c>
      <c r="P749">
        <v>0</v>
      </c>
    </row>
    <row r="750" spans="1:16" x14ac:dyDescent="0.45">
      <c r="A750" t="s">
        <v>56</v>
      </c>
      <c r="B750" t="s">
        <v>29</v>
      </c>
      <c r="C750" t="s">
        <v>29</v>
      </c>
      <c r="D750" t="s">
        <v>49</v>
      </c>
      <c r="E750">
        <v>20</v>
      </c>
      <c r="F750">
        <v>40</v>
      </c>
      <c r="G750" t="s">
        <v>65</v>
      </c>
      <c r="H750" t="s">
        <v>45</v>
      </c>
      <c r="I750" s="24">
        <v>46077</v>
      </c>
      <c r="J750" t="s">
        <v>117</v>
      </c>
      <c r="K750" t="s">
        <v>117</v>
      </c>
      <c r="L750" t="s">
        <v>117</v>
      </c>
      <c r="M750">
        <v>8</v>
      </c>
      <c r="N750">
        <v>160</v>
      </c>
      <c r="O750">
        <v>5.7142857142857144</v>
      </c>
      <c r="P750">
        <v>0</v>
      </c>
    </row>
    <row r="751" spans="1:16" x14ac:dyDescent="0.45">
      <c r="A751" t="s">
        <v>57</v>
      </c>
      <c r="B751" t="s">
        <v>29</v>
      </c>
      <c r="C751" t="s">
        <v>29</v>
      </c>
      <c r="D751" t="s">
        <v>49</v>
      </c>
      <c r="E751">
        <v>20</v>
      </c>
      <c r="F751">
        <v>40</v>
      </c>
      <c r="G751" t="s">
        <v>65</v>
      </c>
      <c r="H751" t="s">
        <v>44</v>
      </c>
      <c r="I751" s="24">
        <v>46077</v>
      </c>
      <c r="J751" t="s">
        <v>117</v>
      </c>
      <c r="K751" t="s">
        <v>117</v>
      </c>
      <c r="L751" t="s">
        <v>117</v>
      </c>
      <c r="M751">
        <v>8</v>
      </c>
      <c r="N751">
        <v>160</v>
      </c>
      <c r="O751">
        <v>5.7142857142857144</v>
      </c>
      <c r="P751">
        <v>0</v>
      </c>
    </row>
    <row r="752" spans="1:16" x14ac:dyDescent="0.45">
      <c r="A752" t="s">
        <v>58</v>
      </c>
      <c r="B752" t="s">
        <v>29</v>
      </c>
      <c r="C752" t="s">
        <v>29</v>
      </c>
      <c r="D752" t="s">
        <v>49</v>
      </c>
      <c r="E752">
        <v>20</v>
      </c>
      <c r="F752">
        <v>40</v>
      </c>
      <c r="G752" t="s">
        <v>65</v>
      </c>
      <c r="H752" t="s">
        <v>41</v>
      </c>
      <c r="I752" s="24">
        <v>46077</v>
      </c>
      <c r="J752" t="s">
        <v>117</v>
      </c>
      <c r="K752" t="s">
        <v>117</v>
      </c>
      <c r="L752" t="s">
        <v>117</v>
      </c>
      <c r="M752">
        <v>0</v>
      </c>
      <c r="N752">
        <v>0</v>
      </c>
      <c r="O752">
        <v>5.7142857142857144</v>
      </c>
      <c r="P752">
        <v>0</v>
      </c>
    </row>
    <row r="753" spans="1:16" x14ac:dyDescent="0.45">
      <c r="A753" t="s">
        <v>59</v>
      </c>
      <c r="B753" t="s">
        <v>29</v>
      </c>
      <c r="C753" t="s">
        <v>29</v>
      </c>
      <c r="D753" t="s">
        <v>60</v>
      </c>
      <c r="E753">
        <v>15</v>
      </c>
      <c r="F753">
        <v>20</v>
      </c>
      <c r="G753" t="s">
        <v>65</v>
      </c>
      <c r="H753" t="s">
        <v>46</v>
      </c>
      <c r="I753" s="24">
        <v>46077</v>
      </c>
      <c r="J753" t="s">
        <v>117</v>
      </c>
      <c r="K753" t="s">
        <v>117</v>
      </c>
      <c r="L753" t="s">
        <v>117</v>
      </c>
      <c r="M753">
        <v>5</v>
      </c>
      <c r="N753">
        <v>75</v>
      </c>
      <c r="O753">
        <v>2.8571428571428572</v>
      </c>
      <c r="P753">
        <v>0</v>
      </c>
    </row>
    <row r="754" spans="1:16" x14ac:dyDescent="0.45">
      <c r="A754" t="s">
        <v>61</v>
      </c>
      <c r="B754" t="s">
        <v>29</v>
      </c>
      <c r="C754" t="s">
        <v>29</v>
      </c>
      <c r="D754" t="s">
        <v>60</v>
      </c>
      <c r="E754">
        <v>15</v>
      </c>
      <c r="F754">
        <v>20</v>
      </c>
      <c r="G754" t="s">
        <v>65</v>
      </c>
      <c r="H754" t="s">
        <v>40</v>
      </c>
      <c r="I754" s="24">
        <v>46077</v>
      </c>
      <c r="J754" t="s">
        <v>117</v>
      </c>
      <c r="K754" t="s">
        <v>117</v>
      </c>
      <c r="L754" t="s">
        <v>117</v>
      </c>
      <c r="M754">
        <v>5</v>
      </c>
      <c r="N754">
        <v>75</v>
      </c>
      <c r="O754">
        <v>2.8571428571428572</v>
      </c>
      <c r="P754">
        <v>0</v>
      </c>
    </row>
    <row r="755" spans="1:16" x14ac:dyDescent="0.45">
      <c r="A755" t="s">
        <v>62</v>
      </c>
      <c r="B755" t="s">
        <v>29</v>
      </c>
      <c r="C755" t="s">
        <v>29</v>
      </c>
      <c r="D755" t="s">
        <v>60</v>
      </c>
      <c r="E755">
        <v>15</v>
      </c>
      <c r="F755">
        <v>20</v>
      </c>
      <c r="G755" t="s">
        <v>65</v>
      </c>
      <c r="H755" t="s">
        <v>40</v>
      </c>
      <c r="I755" s="24">
        <v>46077</v>
      </c>
      <c r="J755" t="s">
        <v>117</v>
      </c>
      <c r="K755" t="s">
        <v>117</v>
      </c>
      <c r="L755" t="s">
        <v>117</v>
      </c>
      <c r="M755">
        <v>5</v>
      </c>
      <c r="N755">
        <v>75</v>
      </c>
      <c r="O755">
        <v>2.8571428571428572</v>
      </c>
      <c r="P755">
        <v>0</v>
      </c>
    </row>
    <row r="756" spans="1:16" x14ac:dyDescent="0.45">
      <c r="A756" t="s">
        <v>48</v>
      </c>
      <c r="B756" t="s">
        <v>30</v>
      </c>
      <c r="C756" t="s">
        <v>28</v>
      </c>
      <c r="D756" t="s">
        <v>49</v>
      </c>
      <c r="E756">
        <v>30</v>
      </c>
      <c r="F756">
        <v>40</v>
      </c>
      <c r="G756" t="s">
        <v>66</v>
      </c>
      <c r="H756" t="s">
        <v>40</v>
      </c>
      <c r="I756" s="24">
        <v>46078</v>
      </c>
      <c r="J756" t="s">
        <v>117</v>
      </c>
      <c r="K756" t="s">
        <v>117</v>
      </c>
      <c r="L756" t="s">
        <v>117</v>
      </c>
      <c r="M756">
        <v>5</v>
      </c>
      <c r="N756">
        <v>150</v>
      </c>
      <c r="O756">
        <v>5.7142857142857144</v>
      </c>
      <c r="P756">
        <v>0</v>
      </c>
    </row>
    <row r="757" spans="1:16" x14ac:dyDescent="0.45">
      <c r="A757" t="s">
        <v>50</v>
      </c>
      <c r="B757" t="s">
        <v>27</v>
      </c>
      <c r="C757" t="s">
        <v>28</v>
      </c>
      <c r="D757" t="s">
        <v>49</v>
      </c>
      <c r="E757">
        <v>25</v>
      </c>
      <c r="F757">
        <v>40</v>
      </c>
      <c r="G757" t="s">
        <v>66</v>
      </c>
      <c r="H757" t="s">
        <v>41</v>
      </c>
      <c r="I757" s="24">
        <v>46078</v>
      </c>
      <c r="J757" t="s">
        <v>117</v>
      </c>
      <c r="K757" t="s">
        <v>117</v>
      </c>
      <c r="L757" t="s">
        <v>117</v>
      </c>
      <c r="M757">
        <v>0</v>
      </c>
      <c r="N757">
        <v>0</v>
      </c>
      <c r="O757">
        <v>5.7142857142857144</v>
      </c>
      <c r="P757">
        <v>0</v>
      </c>
    </row>
    <row r="758" spans="1:16" x14ac:dyDescent="0.45">
      <c r="A758" t="s">
        <v>51</v>
      </c>
      <c r="B758" t="s">
        <v>27</v>
      </c>
      <c r="C758" t="s">
        <v>28</v>
      </c>
      <c r="D758" t="s">
        <v>49</v>
      </c>
      <c r="E758">
        <v>25</v>
      </c>
      <c r="F758">
        <v>40</v>
      </c>
      <c r="G758" t="s">
        <v>66</v>
      </c>
      <c r="H758" t="s">
        <v>35</v>
      </c>
      <c r="I758" s="24">
        <v>46078</v>
      </c>
      <c r="J758" t="s">
        <v>117</v>
      </c>
      <c r="K758" t="s">
        <v>117</v>
      </c>
      <c r="L758" t="s">
        <v>117</v>
      </c>
      <c r="M758">
        <v>7</v>
      </c>
      <c r="N758">
        <v>175</v>
      </c>
      <c r="O758">
        <v>5.7142857142857144</v>
      </c>
      <c r="P758">
        <v>0</v>
      </c>
    </row>
    <row r="759" spans="1:16" x14ac:dyDescent="0.45">
      <c r="A759" t="s">
        <v>52</v>
      </c>
      <c r="B759" t="s">
        <v>26</v>
      </c>
      <c r="C759" t="s">
        <v>26</v>
      </c>
      <c r="D759" t="s">
        <v>49</v>
      </c>
      <c r="E759">
        <v>35</v>
      </c>
      <c r="F759">
        <v>40</v>
      </c>
      <c r="G759" t="s">
        <v>66</v>
      </c>
      <c r="H759" t="s">
        <v>41</v>
      </c>
      <c r="I759" s="24">
        <v>46078</v>
      </c>
      <c r="J759" t="s">
        <v>117</v>
      </c>
      <c r="K759" t="s">
        <v>117</v>
      </c>
      <c r="L759" t="s">
        <v>117</v>
      </c>
      <c r="M759">
        <v>0</v>
      </c>
      <c r="N759">
        <v>0</v>
      </c>
      <c r="O759">
        <v>5.7142857142857144</v>
      </c>
      <c r="P759">
        <v>0</v>
      </c>
    </row>
    <row r="760" spans="1:16" x14ac:dyDescent="0.45">
      <c r="A760" t="s">
        <v>53</v>
      </c>
      <c r="B760" t="s">
        <v>26</v>
      </c>
      <c r="C760" t="s">
        <v>26</v>
      </c>
      <c r="D760" t="s">
        <v>49</v>
      </c>
      <c r="E760">
        <v>35</v>
      </c>
      <c r="F760">
        <v>40</v>
      </c>
      <c r="G760" t="s">
        <v>66</v>
      </c>
      <c r="H760" t="s">
        <v>44</v>
      </c>
      <c r="I760" s="24">
        <v>46078</v>
      </c>
      <c r="J760" t="s">
        <v>117</v>
      </c>
      <c r="K760" t="s">
        <v>117</v>
      </c>
      <c r="L760" t="s">
        <v>117</v>
      </c>
      <c r="M760">
        <v>8</v>
      </c>
      <c r="N760">
        <v>280</v>
      </c>
      <c r="O760">
        <v>5.7142857142857144</v>
      </c>
      <c r="P760">
        <v>0</v>
      </c>
    </row>
    <row r="761" spans="1:16" x14ac:dyDescent="0.45">
      <c r="A761" t="s">
        <v>54</v>
      </c>
      <c r="B761" t="s">
        <v>25</v>
      </c>
      <c r="C761" t="s">
        <v>26</v>
      </c>
      <c r="D761" t="s">
        <v>49</v>
      </c>
      <c r="E761">
        <v>28</v>
      </c>
      <c r="F761">
        <v>40</v>
      </c>
      <c r="G761" t="s">
        <v>66</v>
      </c>
      <c r="H761" t="s">
        <v>42</v>
      </c>
      <c r="I761" s="24">
        <v>46078</v>
      </c>
      <c r="J761" t="s">
        <v>117</v>
      </c>
      <c r="K761" t="s">
        <v>117</v>
      </c>
      <c r="L761" t="s">
        <v>117</v>
      </c>
      <c r="M761">
        <v>8</v>
      </c>
      <c r="N761">
        <v>224</v>
      </c>
      <c r="O761">
        <v>5.7142857142857144</v>
      </c>
      <c r="P761">
        <v>0</v>
      </c>
    </row>
    <row r="762" spans="1:16" x14ac:dyDescent="0.45">
      <c r="A762" t="s">
        <v>55</v>
      </c>
      <c r="B762" t="s">
        <v>25</v>
      </c>
      <c r="C762" t="s">
        <v>26</v>
      </c>
      <c r="D762" t="s">
        <v>49</v>
      </c>
      <c r="E762">
        <v>28</v>
      </c>
      <c r="F762">
        <v>40</v>
      </c>
      <c r="G762" t="s">
        <v>66</v>
      </c>
      <c r="H762" t="s">
        <v>44</v>
      </c>
      <c r="I762" s="24">
        <v>46078</v>
      </c>
      <c r="J762" t="s">
        <v>117</v>
      </c>
      <c r="K762" t="s">
        <v>117</v>
      </c>
      <c r="L762" t="s">
        <v>117</v>
      </c>
      <c r="M762">
        <v>8</v>
      </c>
      <c r="N762">
        <v>224</v>
      </c>
      <c r="O762">
        <v>5.7142857142857144</v>
      </c>
      <c r="P762">
        <v>0</v>
      </c>
    </row>
    <row r="763" spans="1:16" x14ac:dyDescent="0.45">
      <c r="A763" t="s">
        <v>56</v>
      </c>
      <c r="B763" t="s">
        <v>29</v>
      </c>
      <c r="C763" t="s">
        <v>29</v>
      </c>
      <c r="D763" t="s">
        <v>49</v>
      </c>
      <c r="E763">
        <v>20</v>
      </c>
      <c r="F763">
        <v>40</v>
      </c>
      <c r="G763" t="s">
        <v>66</v>
      </c>
      <c r="H763" t="s">
        <v>45</v>
      </c>
      <c r="I763" s="24">
        <v>46078</v>
      </c>
      <c r="J763" t="s">
        <v>117</v>
      </c>
      <c r="K763" t="s">
        <v>117</v>
      </c>
      <c r="L763" t="s">
        <v>117</v>
      </c>
      <c r="M763">
        <v>8</v>
      </c>
      <c r="N763">
        <v>160</v>
      </c>
      <c r="O763">
        <v>5.7142857142857144</v>
      </c>
      <c r="P763">
        <v>0</v>
      </c>
    </row>
    <row r="764" spans="1:16" x14ac:dyDescent="0.45">
      <c r="A764" t="s">
        <v>57</v>
      </c>
      <c r="B764" t="s">
        <v>29</v>
      </c>
      <c r="C764" t="s">
        <v>29</v>
      </c>
      <c r="D764" t="s">
        <v>49</v>
      </c>
      <c r="E764">
        <v>20</v>
      </c>
      <c r="F764">
        <v>40</v>
      </c>
      <c r="G764" t="s">
        <v>66</v>
      </c>
      <c r="H764" t="s">
        <v>44</v>
      </c>
      <c r="I764" s="24">
        <v>46078</v>
      </c>
      <c r="J764" t="s">
        <v>117</v>
      </c>
      <c r="K764" t="s">
        <v>117</v>
      </c>
      <c r="L764" t="s">
        <v>117</v>
      </c>
      <c r="M764">
        <v>8</v>
      </c>
      <c r="N764">
        <v>160</v>
      </c>
      <c r="O764">
        <v>5.7142857142857144</v>
      </c>
      <c r="P764">
        <v>0</v>
      </c>
    </row>
    <row r="765" spans="1:16" x14ac:dyDescent="0.45">
      <c r="A765" t="s">
        <v>58</v>
      </c>
      <c r="B765" t="s">
        <v>29</v>
      </c>
      <c r="C765" t="s">
        <v>29</v>
      </c>
      <c r="D765" t="s">
        <v>49</v>
      </c>
      <c r="E765">
        <v>20</v>
      </c>
      <c r="F765">
        <v>40</v>
      </c>
      <c r="G765" t="s">
        <v>66</v>
      </c>
      <c r="H765" t="s">
        <v>41</v>
      </c>
      <c r="I765" s="24">
        <v>46078</v>
      </c>
      <c r="J765" t="s">
        <v>117</v>
      </c>
      <c r="K765" t="s">
        <v>117</v>
      </c>
      <c r="L765" t="s">
        <v>117</v>
      </c>
      <c r="M765">
        <v>0</v>
      </c>
      <c r="N765">
        <v>0</v>
      </c>
      <c r="O765">
        <v>5.7142857142857144</v>
      </c>
      <c r="P765">
        <v>0</v>
      </c>
    </row>
    <row r="766" spans="1:16" x14ac:dyDescent="0.45">
      <c r="A766" t="s">
        <v>59</v>
      </c>
      <c r="B766" t="s">
        <v>29</v>
      </c>
      <c r="C766" t="s">
        <v>29</v>
      </c>
      <c r="D766" t="s">
        <v>60</v>
      </c>
      <c r="E766">
        <v>15</v>
      </c>
      <c r="F766">
        <v>20</v>
      </c>
      <c r="G766" t="s">
        <v>66</v>
      </c>
      <c r="H766" t="s">
        <v>46</v>
      </c>
      <c r="I766" s="24">
        <v>46078</v>
      </c>
      <c r="J766" t="s">
        <v>117</v>
      </c>
      <c r="K766" t="s">
        <v>117</v>
      </c>
      <c r="L766" t="s">
        <v>117</v>
      </c>
      <c r="M766">
        <v>5</v>
      </c>
      <c r="N766">
        <v>75</v>
      </c>
      <c r="O766">
        <v>2.8571428571428572</v>
      </c>
      <c r="P766">
        <v>0</v>
      </c>
    </row>
    <row r="767" spans="1:16" x14ac:dyDescent="0.45">
      <c r="A767" t="s">
        <v>61</v>
      </c>
      <c r="B767" t="s">
        <v>29</v>
      </c>
      <c r="C767" t="s">
        <v>29</v>
      </c>
      <c r="D767" t="s">
        <v>60</v>
      </c>
      <c r="E767">
        <v>15</v>
      </c>
      <c r="F767">
        <v>20</v>
      </c>
      <c r="G767" t="s">
        <v>66</v>
      </c>
      <c r="H767" t="s">
        <v>41</v>
      </c>
      <c r="I767" s="24">
        <v>46078</v>
      </c>
      <c r="J767" t="s">
        <v>117</v>
      </c>
      <c r="K767" t="s">
        <v>117</v>
      </c>
      <c r="L767" t="s">
        <v>117</v>
      </c>
      <c r="M767">
        <v>0</v>
      </c>
      <c r="N767">
        <v>0</v>
      </c>
      <c r="O767">
        <v>2.8571428571428572</v>
      </c>
      <c r="P767">
        <v>0</v>
      </c>
    </row>
    <row r="768" spans="1:16" x14ac:dyDescent="0.45">
      <c r="A768" t="s">
        <v>62</v>
      </c>
      <c r="B768" t="s">
        <v>29</v>
      </c>
      <c r="C768" t="s">
        <v>29</v>
      </c>
      <c r="D768" t="s">
        <v>60</v>
      </c>
      <c r="E768">
        <v>15</v>
      </c>
      <c r="F768">
        <v>20</v>
      </c>
      <c r="G768" t="s">
        <v>66</v>
      </c>
      <c r="H768" t="s">
        <v>41</v>
      </c>
      <c r="I768" s="24">
        <v>46078</v>
      </c>
      <c r="J768" t="s">
        <v>117</v>
      </c>
      <c r="K768" t="s">
        <v>117</v>
      </c>
      <c r="L768" t="s">
        <v>117</v>
      </c>
      <c r="M768">
        <v>0</v>
      </c>
      <c r="N768">
        <v>0</v>
      </c>
      <c r="O768">
        <v>2.8571428571428572</v>
      </c>
      <c r="P768">
        <v>0</v>
      </c>
    </row>
    <row r="769" spans="1:16" x14ac:dyDescent="0.45">
      <c r="A769" t="s">
        <v>48</v>
      </c>
      <c r="B769" t="s">
        <v>30</v>
      </c>
      <c r="C769" t="s">
        <v>28</v>
      </c>
      <c r="D769" t="s">
        <v>49</v>
      </c>
      <c r="E769">
        <v>30</v>
      </c>
      <c r="F769">
        <v>40</v>
      </c>
      <c r="G769" t="s">
        <v>67</v>
      </c>
      <c r="H769" t="s">
        <v>41</v>
      </c>
      <c r="I769" s="24">
        <v>46079</v>
      </c>
      <c r="J769" t="s">
        <v>117</v>
      </c>
      <c r="K769" t="s">
        <v>117</v>
      </c>
      <c r="L769" t="s">
        <v>117</v>
      </c>
      <c r="M769">
        <v>0</v>
      </c>
      <c r="N769">
        <v>0</v>
      </c>
      <c r="O769">
        <v>5.7142857142857144</v>
      </c>
      <c r="P769">
        <v>0</v>
      </c>
    </row>
    <row r="770" spans="1:16" x14ac:dyDescent="0.45">
      <c r="A770" t="s">
        <v>50</v>
      </c>
      <c r="B770" t="s">
        <v>27</v>
      </c>
      <c r="C770" t="s">
        <v>28</v>
      </c>
      <c r="D770" t="s">
        <v>49</v>
      </c>
      <c r="E770">
        <v>25</v>
      </c>
      <c r="F770">
        <v>40</v>
      </c>
      <c r="G770" t="s">
        <v>67</v>
      </c>
      <c r="H770" t="s">
        <v>37</v>
      </c>
      <c r="I770" s="24">
        <v>46079</v>
      </c>
      <c r="J770" t="s">
        <v>117</v>
      </c>
      <c r="K770" t="s">
        <v>117</v>
      </c>
      <c r="L770" t="s">
        <v>117</v>
      </c>
      <c r="M770">
        <v>7</v>
      </c>
      <c r="N770">
        <v>175</v>
      </c>
      <c r="O770">
        <v>5.7142857142857144</v>
      </c>
      <c r="P770">
        <v>0</v>
      </c>
    </row>
    <row r="771" spans="1:16" x14ac:dyDescent="0.45">
      <c r="A771" t="s">
        <v>51</v>
      </c>
      <c r="B771" t="s">
        <v>27</v>
      </c>
      <c r="C771" t="s">
        <v>28</v>
      </c>
      <c r="D771" t="s">
        <v>49</v>
      </c>
      <c r="E771">
        <v>25</v>
      </c>
      <c r="F771">
        <v>40</v>
      </c>
      <c r="G771" t="s">
        <v>67</v>
      </c>
      <c r="H771" t="s">
        <v>35</v>
      </c>
      <c r="I771" s="24">
        <v>46079</v>
      </c>
      <c r="J771" t="s">
        <v>117</v>
      </c>
      <c r="K771" t="s">
        <v>117</v>
      </c>
      <c r="L771" t="s">
        <v>117</v>
      </c>
      <c r="M771">
        <v>7</v>
      </c>
      <c r="N771">
        <v>175</v>
      </c>
      <c r="O771">
        <v>5.7142857142857144</v>
      </c>
      <c r="P771">
        <v>0</v>
      </c>
    </row>
    <row r="772" spans="1:16" x14ac:dyDescent="0.45">
      <c r="A772" t="s">
        <v>52</v>
      </c>
      <c r="B772" t="s">
        <v>26</v>
      </c>
      <c r="C772" t="s">
        <v>26</v>
      </c>
      <c r="D772" t="s">
        <v>49</v>
      </c>
      <c r="E772">
        <v>35</v>
      </c>
      <c r="F772">
        <v>40</v>
      </c>
      <c r="G772" t="s">
        <v>67</v>
      </c>
      <c r="H772" t="s">
        <v>42</v>
      </c>
      <c r="I772" s="24">
        <v>46079</v>
      </c>
      <c r="J772" t="s">
        <v>117</v>
      </c>
      <c r="K772" t="s">
        <v>117</v>
      </c>
      <c r="L772" t="s">
        <v>117</v>
      </c>
      <c r="M772">
        <v>8</v>
      </c>
      <c r="N772">
        <v>280</v>
      </c>
      <c r="O772">
        <v>5.7142857142857144</v>
      </c>
      <c r="P772">
        <v>0</v>
      </c>
    </row>
    <row r="773" spans="1:16" x14ac:dyDescent="0.45">
      <c r="A773" t="s">
        <v>53</v>
      </c>
      <c r="B773" t="s">
        <v>26</v>
      </c>
      <c r="C773" t="s">
        <v>26</v>
      </c>
      <c r="D773" t="s">
        <v>49</v>
      </c>
      <c r="E773">
        <v>35</v>
      </c>
      <c r="F773">
        <v>40</v>
      </c>
      <c r="G773" t="s">
        <v>67</v>
      </c>
      <c r="H773" t="s">
        <v>41</v>
      </c>
      <c r="I773" s="24">
        <v>46079</v>
      </c>
      <c r="J773" t="s">
        <v>117</v>
      </c>
      <c r="K773" t="s">
        <v>117</v>
      </c>
      <c r="L773" t="s">
        <v>117</v>
      </c>
      <c r="M773">
        <v>0</v>
      </c>
      <c r="N773">
        <v>0</v>
      </c>
      <c r="O773">
        <v>5.7142857142857144</v>
      </c>
      <c r="P773">
        <v>0</v>
      </c>
    </row>
    <row r="774" spans="1:16" x14ac:dyDescent="0.45">
      <c r="A774" t="s">
        <v>54</v>
      </c>
      <c r="B774" t="s">
        <v>25</v>
      </c>
      <c r="C774" t="s">
        <v>26</v>
      </c>
      <c r="D774" t="s">
        <v>49</v>
      </c>
      <c r="E774">
        <v>28</v>
      </c>
      <c r="F774">
        <v>40</v>
      </c>
      <c r="G774" t="s">
        <v>67</v>
      </c>
      <c r="H774" t="s">
        <v>44</v>
      </c>
      <c r="I774" s="24">
        <v>46079</v>
      </c>
      <c r="J774" t="s">
        <v>117</v>
      </c>
      <c r="K774" t="s">
        <v>117</v>
      </c>
      <c r="L774" t="s">
        <v>117</v>
      </c>
      <c r="M774">
        <v>8</v>
      </c>
      <c r="N774">
        <v>224</v>
      </c>
      <c r="O774">
        <v>5.7142857142857144</v>
      </c>
      <c r="P774">
        <v>0</v>
      </c>
    </row>
    <row r="775" spans="1:16" x14ac:dyDescent="0.45">
      <c r="A775" t="s">
        <v>55</v>
      </c>
      <c r="B775" t="s">
        <v>25</v>
      </c>
      <c r="C775" t="s">
        <v>26</v>
      </c>
      <c r="D775" t="s">
        <v>49</v>
      </c>
      <c r="E775">
        <v>28</v>
      </c>
      <c r="F775">
        <v>40</v>
      </c>
      <c r="G775" t="s">
        <v>67</v>
      </c>
      <c r="H775" t="s">
        <v>44</v>
      </c>
      <c r="I775" s="24">
        <v>46079</v>
      </c>
      <c r="J775" t="s">
        <v>117</v>
      </c>
      <c r="K775" t="s">
        <v>117</v>
      </c>
      <c r="L775" t="s">
        <v>117</v>
      </c>
      <c r="M775">
        <v>8</v>
      </c>
      <c r="N775">
        <v>224</v>
      </c>
      <c r="O775">
        <v>5.7142857142857144</v>
      </c>
      <c r="P775">
        <v>0</v>
      </c>
    </row>
    <row r="776" spans="1:16" x14ac:dyDescent="0.45">
      <c r="A776" t="s">
        <v>56</v>
      </c>
      <c r="B776" t="s">
        <v>29</v>
      </c>
      <c r="C776" t="s">
        <v>29</v>
      </c>
      <c r="D776" t="s">
        <v>49</v>
      </c>
      <c r="E776">
        <v>20</v>
      </c>
      <c r="F776">
        <v>40</v>
      </c>
      <c r="G776" t="s">
        <v>67</v>
      </c>
      <c r="H776" t="s">
        <v>41</v>
      </c>
      <c r="I776" s="24">
        <v>46079</v>
      </c>
      <c r="J776" t="s">
        <v>117</v>
      </c>
      <c r="K776" t="s">
        <v>117</v>
      </c>
      <c r="L776" t="s">
        <v>117</v>
      </c>
      <c r="M776">
        <v>0</v>
      </c>
      <c r="N776">
        <v>0</v>
      </c>
      <c r="O776">
        <v>5.7142857142857144</v>
      </c>
      <c r="P776">
        <v>0</v>
      </c>
    </row>
    <row r="777" spans="1:16" x14ac:dyDescent="0.45">
      <c r="A777" t="s">
        <v>57</v>
      </c>
      <c r="B777" t="s">
        <v>29</v>
      </c>
      <c r="C777" t="s">
        <v>29</v>
      </c>
      <c r="D777" t="s">
        <v>49</v>
      </c>
      <c r="E777">
        <v>20</v>
      </c>
      <c r="F777">
        <v>40</v>
      </c>
      <c r="G777" t="s">
        <v>67</v>
      </c>
      <c r="H777" t="s">
        <v>44</v>
      </c>
      <c r="I777" s="24">
        <v>46079</v>
      </c>
      <c r="J777" t="s">
        <v>117</v>
      </c>
      <c r="K777" t="s">
        <v>117</v>
      </c>
      <c r="L777" t="s">
        <v>117</v>
      </c>
      <c r="M777">
        <v>8</v>
      </c>
      <c r="N777">
        <v>160</v>
      </c>
      <c r="O777">
        <v>5.7142857142857144</v>
      </c>
      <c r="P777">
        <v>0</v>
      </c>
    </row>
    <row r="778" spans="1:16" x14ac:dyDescent="0.45">
      <c r="A778" t="s">
        <v>58</v>
      </c>
      <c r="B778" t="s">
        <v>29</v>
      </c>
      <c r="C778" t="s">
        <v>29</v>
      </c>
      <c r="D778" t="s">
        <v>49</v>
      </c>
      <c r="E778">
        <v>20</v>
      </c>
      <c r="F778">
        <v>40</v>
      </c>
      <c r="G778" t="s">
        <v>67</v>
      </c>
      <c r="H778" t="s">
        <v>45</v>
      </c>
      <c r="I778" s="24">
        <v>46079</v>
      </c>
      <c r="J778" t="s">
        <v>117</v>
      </c>
      <c r="K778" t="s">
        <v>117</v>
      </c>
      <c r="L778" t="s">
        <v>117</v>
      </c>
      <c r="M778">
        <v>8</v>
      </c>
      <c r="N778">
        <v>160</v>
      </c>
      <c r="O778">
        <v>5.7142857142857144</v>
      </c>
      <c r="P778">
        <v>0</v>
      </c>
    </row>
    <row r="779" spans="1:16" x14ac:dyDescent="0.45">
      <c r="A779" t="s">
        <v>59</v>
      </c>
      <c r="B779" t="s">
        <v>29</v>
      </c>
      <c r="C779" t="s">
        <v>29</v>
      </c>
      <c r="D779" t="s">
        <v>60</v>
      </c>
      <c r="E779">
        <v>15</v>
      </c>
      <c r="F779">
        <v>20</v>
      </c>
      <c r="G779" t="s">
        <v>67</v>
      </c>
      <c r="H779" t="s">
        <v>46</v>
      </c>
      <c r="I779" s="24">
        <v>46079</v>
      </c>
      <c r="J779" t="s">
        <v>117</v>
      </c>
      <c r="K779" t="s">
        <v>117</v>
      </c>
      <c r="L779" t="s">
        <v>117</v>
      </c>
      <c r="M779">
        <v>5</v>
      </c>
      <c r="N779">
        <v>75</v>
      </c>
      <c r="O779">
        <v>2.8571428571428572</v>
      </c>
      <c r="P779">
        <v>0</v>
      </c>
    </row>
    <row r="780" spans="1:16" x14ac:dyDescent="0.45">
      <c r="A780" t="s">
        <v>61</v>
      </c>
      <c r="B780" t="s">
        <v>29</v>
      </c>
      <c r="C780" t="s">
        <v>29</v>
      </c>
      <c r="D780" t="s">
        <v>60</v>
      </c>
      <c r="E780">
        <v>15</v>
      </c>
      <c r="F780">
        <v>20</v>
      </c>
      <c r="G780" t="s">
        <v>67</v>
      </c>
      <c r="H780" t="s">
        <v>41</v>
      </c>
      <c r="I780" s="24">
        <v>46079</v>
      </c>
      <c r="J780" t="s">
        <v>117</v>
      </c>
      <c r="K780" t="s">
        <v>117</v>
      </c>
      <c r="L780" t="s">
        <v>117</v>
      </c>
      <c r="M780">
        <v>0</v>
      </c>
      <c r="N780">
        <v>0</v>
      </c>
      <c r="O780">
        <v>2.8571428571428572</v>
      </c>
      <c r="P780">
        <v>0</v>
      </c>
    </row>
    <row r="781" spans="1:16" x14ac:dyDescent="0.45">
      <c r="A781" t="s">
        <v>62</v>
      </c>
      <c r="B781" t="s">
        <v>29</v>
      </c>
      <c r="C781" t="s">
        <v>29</v>
      </c>
      <c r="D781" t="s">
        <v>60</v>
      </c>
      <c r="E781">
        <v>15</v>
      </c>
      <c r="F781">
        <v>20</v>
      </c>
      <c r="G781" t="s">
        <v>67</v>
      </c>
      <c r="H781" t="s">
        <v>41</v>
      </c>
      <c r="I781" s="24">
        <v>46079</v>
      </c>
      <c r="J781" t="s">
        <v>117</v>
      </c>
      <c r="K781" t="s">
        <v>117</v>
      </c>
      <c r="L781" t="s">
        <v>117</v>
      </c>
      <c r="M781">
        <v>0</v>
      </c>
      <c r="N781">
        <v>0</v>
      </c>
      <c r="O781">
        <v>2.8571428571428572</v>
      </c>
      <c r="P781">
        <v>0</v>
      </c>
    </row>
    <row r="782" spans="1:16" x14ac:dyDescent="0.45">
      <c r="A782" t="s">
        <v>48</v>
      </c>
      <c r="B782" t="s">
        <v>30</v>
      </c>
      <c r="C782" t="s">
        <v>28</v>
      </c>
      <c r="D782" t="s">
        <v>49</v>
      </c>
      <c r="E782">
        <v>30</v>
      </c>
      <c r="F782">
        <v>40</v>
      </c>
      <c r="G782" t="s">
        <v>68</v>
      </c>
      <c r="H782" t="s">
        <v>35</v>
      </c>
      <c r="I782" s="24">
        <v>46080</v>
      </c>
      <c r="J782" t="s">
        <v>118</v>
      </c>
      <c r="K782" t="s">
        <v>117</v>
      </c>
      <c r="L782" t="s">
        <v>118</v>
      </c>
      <c r="M782">
        <v>7</v>
      </c>
      <c r="N782">
        <v>315</v>
      </c>
      <c r="O782">
        <v>5.7142857142857144</v>
      </c>
      <c r="P782">
        <v>1</v>
      </c>
    </row>
    <row r="783" spans="1:16" x14ac:dyDescent="0.45">
      <c r="A783" t="s">
        <v>50</v>
      </c>
      <c r="B783" t="s">
        <v>27</v>
      </c>
      <c r="C783" t="s">
        <v>28</v>
      </c>
      <c r="D783" t="s">
        <v>49</v>
      </c>
      <c r="E783">
        <v>25</v>
      </c>
      <c r="F783">
        <v>40</v>
      </c>
      <c r="G783" t="s">
        <v>68</v>
      </c>
      <c r="H783" t="s">
        <v>37</v>
      </c>
      <c r="I783" s="24">
        <v>46080</v>
      </c>
      <c r="J783" t="s">
        <v>118</v>
      </c>
      <c r="K783" t="s">
        <v>117</v>
      </c>
      <c r="L783" t="s">
        <v>118</v>
      </c>
      <c r="M783">
        <v>7</v>
      </c>
      <c r="N783">
        <v>262.5</v>
      </c>
      <c r="O783">
        <v>5.7142857142857144</v>
      </c>
      <c r="P783">
        <v>1</v>
      </c>
    </row>
    <row r="784" spans="1:16" x14ac:dyDescent="0.45">
      <c r="A784" t="s">
        <v>51</v>
      </c>
      <c r="B784" t="s">
        <v>27</v>
      </c>
      <c r="C784" t="s">
        <v>28</v>
      </c>
      <c r="D784" t="s">
        <v>49</v>
      </c>
      <c r="E784">
        <v>25</v>
      </c>
      <c r="F784">
        <v>40</v>
      </c>
      <c r="G784" t="s">
        <v>68</v>
      </c>
      <c r="H784" t="s">
        <v>35</v>
      </c>
      <c r="I784" s="24">
        <v>46080</v>
      </c>
      <c r="J784" t="s">
        <v>118</v>
      </c>
      <c r="K784" t="s">
        <v>117</v>
      </c>
      <c r="L784" t="s">
        <v>118</v>
      </c>
      <c r="M784">
        <v>7</v>
      </c>
      <c r="N784">
        <v>262.5</v>
      </c>
      <c r="O784">
        <v>5.7142857142857144</v>
      </c>
      <c r="P784">
        <v>1</v>
      </c>
    </row>
    <row r="785" spans="1:16" x14ac:dyDescent="0.45">
      <c r="A785" t="s">
        <v>52</v>
      </c>
      <c r="B785" t="s">
        <v>26</v>
      </c>
      <c r="C785" t="s">
        <v>26</v>
      </c>
      <c r="D785" t="s">
        <v>49</v>
      </c>
      <c r="E785">
        <v>35</v>
      </c>
      <c r="F785">
        <v>40</v>
      </c>
      <c r="G785" t="s">
        <v>68</v>
      </c>
      <c r="H785" t="s">
        <v>42</v>
      </c>
      <c r="I785" s="24">
        <v>46080</v>
      </c>
      <c r="J785" t="s">
        <v>118</v>
      </c>
      <c r="K785" t="s">
        <v>117</v>
      </c>
      <c r="L785" t="s">
        <v>118</v>
      </c>
      <c r="M785">
        <v>8</v>
      </c>
      <c r="N785">
        <v>420</v>
      </c>
      <c r="O785">
        <v>5.7142857142857144</v>
      </c>
      <c r="P785">
        <v>1</v>
      </c>
    </row>
    <row r="786" spans="1:16" x14ac:dyDescent="0.45">
      <c r="A786" t="s">
        <v>53</v>
      </c>
      <c r="B786" t="s">
        <v>26</v>
      </c>
      <c r="C786" t="s">
        <v>26</v>
      </c>
      <c r="D786" t="s">
        <v>49</v>
      </c>
      <c r="E786">
        <v>35</v>
      </c>
      <c r="F786">
        <v>40</v>
      </c>
      <c r="G786" t="s">
        <v>68</v>
      </c>
      <c r="H786" t="s">
        <v>41</v>
      </c>
      <c r="I786" s="24">
        <v>46080</v>
      </c>
      <c r="J786" t="s">
        <v>118</v>
      </c>
      <c r="K786" t="s">
        <v>117</v>
      </c>
      <c r="L786" t="s">
        <v>118</v>
      </c>
      <c r="M786">
        <v>0</v>
      </c>
      <c r="N786">
        <v>0</v>
      </c>
      <c r="O786">
        <v>5.7142857142857144</v>
      </c>
      <c r="P786">
        <v>0</v>
      </c>
    </row>
    <row r="787" spans="1:16" x14ac:dyDescent="0.45">
      <c r="A787" t="s">
        <v>54</v>
      </c>
      <c r="B787" t="s">
        <v>25</v>
      </c>
      <c r="C787" t="s">
        <v>26</v>
      </c>
      <c r="D787" t="s">
        <v>49</v>
      </c>
      <c r="E787">
        <v>28</v>
      </c>
      <c r="F787">
        <v>40</v>
      </c>
      <c r="G787" t="s">
        <v>68</v>
      </c>
      <c r="H787" t="s">
        <v>44</v>
      </c>
      <c r="I787" s="24">
        <v>46080</v>
      </c>
      <c r="J787" t="s">
        <v>118</v>
      </c>
      <c r="K787" t="s">
        <v>117</v>
      </c>
      <c r="L787" t="s">
        <v>118</v>
      </c>
      <c r="M787">
        <v>8</v>
      </c>
      <c r="N787">
        <v>336</v>
      </c>
      <c r="O787">
        <v>5.7142857142857144</v>
      </c>
      <c r="P787">
        <v>1</v>
      </c>
    </row>
    <row r="788" spans="1:16" x14ac:dyDescent="0.45">
      <c r="A788" t="s">
        <v>55</v>
      </c>
      <c r="B788" t="s">
        <v>25</v>
      </c>
      <c r="C788" t="s">
        <v>26</v>
      </c>
      <c r="D788" t="s">
        <v>49</v>
      </c>
      <c r="E788">
        <v>28</v>
      </c>
      <c r="F788">
        <v>40</v>
      </c>
      <c r="G788" t="s">
        <v>68</v>
      </c>
      <c r="H788" t="s">
        <v>44</v>
      </c>
      <c r="I788" s="24">
        <v>46080</v>
      </c>
      <c r="J788" t="s">
        <v>118</v>
      </c>
      <c r="K788" t="s">
        <v>117</v>
      </c>
      <c r="L788" t="s">
        <v>118</v>
      </c>
      <c r="M788">
        <v>8</v>
      </c>
      <c r="N788">
        <v>336</v>
      </c>
      <c r="O788">
        <v>5.7142857142857144</v>
      </c>
      <c r="P788">
        <v>1</v>
      </c>
    </row>
    <row r="789" spans="1:16" x14ac:dyDescent="0.45">
      <c r="A789" t="s">
        <v>56</v>
      </c>
      <c r="B789" t="s">
        <v>29</v>
      </c>
      <c r="C789" t="s">
        <v>29</v>
      </c>
      <c r="D789" t="s">
        <v>49</v>
      </c>
      <c r="E789">
        <v>20</v>
      </c>
      <c r="F789">
        <v>40</v>
      </c>
      <c r="G789" t="s">
        <v>68</v>
      </c>
      <c r="H789" t="s">
        <v>41</v>
      </c>
      <c r="I789" s="24">
        <v>46080</v>
      </c>
      <c r="J789" t="s">
        <v>118</v>
      </c>
      <c r="K789" t="s">
        <v>117</v>
      </c>
      <c r="L789" t="s">
        <v>118</v>
      </c>
      <c r="M789">
        <v>0</v>
      </c>
      <c r="N789">
        <v>0</v>
      </c>
      <c r="O789">
        <v>5.7142857142857144</v>
      </c>
      <c r="P789">
        <v>0</v>
      </c>
    </row>
    <row r="790" spans="1:16" x14ac:dyDescent="0.45">
      <c r="A790" t="s">
        <v>57</v>
      </c>
      <c r="B790" t="s">
        <v>29</v>
      </c>
      <c r="C790" t="s">
        <v>29</v>
      </c>
      <c r="D790" t="s">
        <v>49</v>
      </c>
      <c r="E790">
        <v>20</v>
      </c>
      <c r="F790">
        <v>40</v>
      </c>
      <c r="G790" t="s">
        <v>68</v>
      </c>
      <c r="H790" t="s">
        <v>44</v>
      </c>
      <c r="I790" s="24">
        <v>46080</v>
      </c>
      <c r="J790" t="s">
        <v>118</v>
      </c>
      <c r="K790" t="s">
        <v>117</v>
      </c>
      <c r="L790" t="s">
        <v>118</v>
      </c>
      <c r="M790">
        <v>8</v>
      </c>
      <c r="N790">
        <v>240</v>
      </c>
      <c r="O790">
        <v>5.7142857142857144</v>
      </c>
      <c r="P790">
        <v>1</v>
      </c>
    </row>
    <row r="791" spans="1:16" x14ac:dyDescent="0.45">
      <c r="A791" t="s">
        <v>58</v>
      </c>
      <c r="B791" t="s">
        <v>29</v>
      </c>
      <c r="C791" t="s">
        <v>29</v>
      </c>
      <c r="D791" t="s">
        <v>49</v>
      </c>
      <c r="E791">
        <v>20</v>
      </c>
      <c r="F791">
        <v>40</v>
      </c>
      <c r="G791" t="s">
        <v>68</v>
      </c>
      <c r="H791" t="s">
        <v>45</v>
      </c>
      <c r="I791" s="24">
        <v>46080</v>
      </c>
      <c r="J791" t="s">
        <v>118</v>
      </c>
      <c r="K791" t="s">
        <v>117</v>
      </c>
      <c r="L791" t="s">
        <v>118</v>
      </c>
      <c r="M791">
        <v>8</v>
      </c>
      <c r="N791">
        <v>240</v>
      </c>
      <c r="O791">
        <v>5.7142857142857144</v>
      </c>
      <c r="P791">
        <v>1</v>
      </c>
    </row>
    <row r="792" spans="1:16" x14ac:dyDescent="0.45">
      <c r="A792" t="s">
        <v>59</v>
      </c>
      <c r="B792" t="s">
        <v>29</v>
      </c>
      <c r="C792" t="s">
        <v>29</v>
      </c>
      <c r="D792" t="s">
        <v>60</v>
      </c>
      <c r="E792">
        <v>15</v>
      </c>
      <c r="F792">
        <v>20</v>
      </c>
      <c r="G792" t="s">
        <v>68</v>
      </c>
      <c r="H792" t="s">
        <v>46</v>
      </c>
      <c r="I792" s="24">
        <v>46080</v>
      </c>
      <c r="J792" t="s">
        <v>118</v>
      </c>
      <c r="K792" t="s">
        <v>117</v>
      </c>
      <c r="L792" t="s">
        <v>118</v>
      </c>
      <c r="M792">
        <v>5</v>
      </c>
      <c r="N792">
        <v>112.5</v>
      </c>
      <c r="O792">
        <v>2.8571428571428572</v>
      </c>
      <c r="P792">
        <v>1</v>
      </c>
    </row>
    <row r="793" spans="1:16" x14ac:dyDescent="0.45">
      <c r="A793" t="s">
        <v>61</v>
      </c>
      <c r="B793" t="s">
        <v>29</v>
      </c>
      <c r="C793" t="s">
        <v>29</v>
      </c>
      <c r="D793" t="s">
        <v>60</v>
      </c>
      <c r="E793">
        <v>15</v>
      </c>
      <c r="F793">
        <v>20</v>
      </c>
      <c r="G793" t="s">
        <v>68</v>
      </c>
      <c r="H793" t="s">
        <v>46</v>
      </c>
      <c r="I793" s="24">
        <v>46080</v>
      </c>
      <c r="J793" t="s">
        <v>118</v>
      </c>
      <c r="K793" t="s">
        <v>117</v>
      </c>
      <c r="L793" t="s">
        <v>118</v>
      </c>
      <c r="M793">
        <v>5</v>
      </c>
      <c r="N793">
        <v>112.5</v>
      </c>
      <c r="O793">
        <v>2.8571428571428572</v>
      </c>
      <c r="P793">
        <v>1</v>
      </c>
    </row>
    <row r="794" spans="1:16" x14ac:dyDescent="0.45">
      <c r="A794" t="s">
        <v>62</v>
      </c>
      <c r="B794" t="s">
        <v>29</v>
      </c>
      <c r="C794" t="s">
        <v>29</v>
      </c>
      <c r="D794" t="s">
        <v>60</v>
      </c>
      <c r="E794">
        <v>15</v>
      </c>
      <c r="F794">
        <v>20</v>
      </c>
      <c r="G794" t="s">
        <v>68</v>
      </c>
      <c r="H794" t="s">
        <v>41</v>
      </c>
      <c r="I794" s="24">
        <v>46080</v>
      </c>
      <c r="J794" t="s">
        <v>118</v>
      </c>
      <c r="K794" t="s">
        <v>117</v>
      </c>
      <c r="L794" t="s">
        <v>118</v>
      </c>
      <c r="M794">
        <v>0</v>
      </c>
      <c r="N794">
        <v>0</v>
      </c>
      <c r="O794">
        <v>2.8571428571428572</v>
      </c>
      <c r="P794">
        <v>0</v>
      </c>
    </row>
    <row r="795" spans="1:16" x14ac:dyDescent="0.45">
      <c r="A795" t="s">
        <v>48</v>
      </c>
      <c r="B795" t="s">
        <v>30</v>
      </c>
      <c r="C795" t="s">
        <v>28</v>
      </c>
      <c r="D795" t="s">
        <v>49</v>
      </c>
      <c r="E795">
        <v>30</v>
      </c>
      <c r="F795">
        <v>40</v>
      </c>
      <c r="G795" t="s">
        <v>69</v>
      </c>
      <c r="H795" t="s">
        <v>37</v>
      </c>
      <c r="I795" s="24">
        <v>46081</v>
      </c>
      <c r="J795" t="s">
        <v>118</v>
      </c>
      <c r="K795" t="s">
        <v>117</v>
      </c>
      <c r="L795" t="s">
        <v>118</v>
      </c>
      <c r="M795">
        <v>7</v>
      </c>
      <c r="N795">
        <v>315</v>
      </c>
      <c r="O795">
        <v>5.7142857142857144</v>
      </c>
      <c r="P795">
        <v>1</v>
      </c>
    </row>
    <row r="796" spans="1:16" x14ac:dyDescent="0.45">
      <c r="A796" t="s">
        <v>50</v>
      </c>
      <c r="B796" t="s">
        <v>27</v>
      </c>
      <c r="C796" t="s">
        <v>28</v>
      </c>
      <c r="D796" t="s">
        <v>49</v>
      </c>
      <c r="E796">
        <v>25</v>
      </c>
      <c r="F796">
        <v>40</v>
      </c>
      <c r="G796" t="s">
        <v>69</v>
      </c>
      <c r="H796" t="s">
        <v>40</v>
      </c>
      <c r="I796" s="24">
        <v>46081</v>
      </c>
      <c r="J796" t="s">
        <v>118</v>
      </c>
      <c r="K796" t="s">
        <v>117</v>
      </c>
      <c r="L796" t="s">
        <v>118</v>
      </c>
      <c r="M796">
        <v>5</v>
      </c>
      <c r="N796">
        <v>187.5</v>
      </c>
      <c r="O796">
        <v>5.7142857142857144</v>
      </c>
      <c r="P796">
        <v>1</v>
      </c>
    </row>
    <row r="797" spans="1:16" x14ac:dyDescent="0.45">
      <c r="A797" t="s">
        <v>51</v>
      </c>
      <c r="B797" t="s">
        <v>27</v>
      </c>
      <c r="C797" t="s">
        <v>28</v>
      </c>
      <c r="D797" t="s">
        <v>49</v>
      </c>
      <c r="E797">
        <v>25</v>
      </c>
      <c r="F797">
        <v>40</v>
      </c>
      <c r="G797" t="s">
        <v>69</v>
      </c>
      <c r="H797" t="s">
        <v>35</v>
      </c>
      <c r="I797" s="24">
        <v>46081</v>
      </c>
      <c r="J797" t="s">
        <v>118</v>
      </c>
      <c r="K797" t="s">
        <v>117</v>
      </c>
      <c r="L797" t="s">
        <v>118</v>
      </c>
      <c r="M797">
        <v>7</v>
      </c>
      <c r="N797">
        <v>262.5</v>
      </c>
      <c r="O797">
        <v>5.7142857142857144</v>
      </c>
      <c r="P797">
        <v>1</v>
      </c>
    </row>
    <row r="798" spans="1:16" x14ac:dyDescent="0.45">
      <c r="A798" t="s">
        <v>52</v>
      </c>
      <c r="B798" t="s">
        <v>26</v>
      </c>
      <c r="C798" t="s">
        <v>26</v>
      </c>
      <c r="D798" t="s">
        <v>49</v>
      </c>
      <c r="E798">
        <v>35</v>
      </c>
      <c r="F798">
        <v>40</v>
      </c>
      <c r="G798" t="s">
        <v>69</v>
      </c>
      <c r="H798" t="s">
        <v>41</v>
      </c>
      <c r="I798" s="24">
        <v>46081</v>
      </c>
      <c r="J798" t="s">
        <v>118</v>
      </c>
      <c r="K798" t="s">
        <v>117</v>
      </c>
      <c r="L798" t="s">
        <v>118</v>
      </c>
      <c r="M798">
        <v>0</v>
      </c>
      <c r="N798">
        <v>0</v>
      </c>
      <c r="O798">
        <v>5.7142857142857144</v>
      </c>
      <c r="P798">
        <v>0</v>
      </c>
    </row>
    <row r="799" spans="1:16" x14ac:dyDescent="0.45">
      <c r="A799" t="s">
        <v>53</v>
      </c>
      <c r="B799" t="s">
        <v>26</v>
      </c>
      <c r="C799" t="s">
        <v>26</v>
      </c>
      <c r="D799" t="s">
        <v>49</v>
      </c>
      <c r="E799">
        <v>35</v>
      </c>
      <c r="F799">
        <v>40</v>
      </c>
      <c r="G799" t="s">
        <v>69</v>
      </c>
      <c r="H799" t="s">
        <v>42</v>
      </c>
      <c r="I799" s="24">
        <v>46081</v>
      </c>
      <c r="J799" t="s">
        <v>118</v>
      </c>
      <c r="K799" t="s">
        <v>117</v>
      </c>
      <c r="L799" t="s">
        <v>118</v>
      </c>
      <c r="M799">
        <v>8</v>
      </c>
      <c r="N799">
        <v>420</v>
      </c>
      <c r="O799">
        <v>5.7142857142857144</v>
      </c>
      <c r="P799">
        <v>1</v>
      </c>
    </row>
    <row r="800" spans="1:16" x14ac:dyDescent="0.45">
      <c r="A800" t="s">
        <v>54</v>
      </c>
      <c r="B800" t="s">
        <v>25</v>
      </c>
      <c r="C800" t="s">
        <v>26</v>
      </c>
      <c r="D800" t="s">
        <v>49</v>
      </c>
      <c r="E800">
        <v>28</v>
      </c>
      <c r="F800">
        <v>40</v>
      </c>
      <c r="G800" t="s">
        <v>69</v>
      </c>
      <c r="H800" t="s">
        <v>44</v>
      </c>
      <c r="I800" s="24">
        <v>46081</v>
      </c>
      <c r="J800" t="s">
        <v>118</v>
      </c>
      <c r="K800" t="s">
        <v>117</v>
      </c>
      <c r="L800" t="s">
        <v>118</v>
      </c>
      <c r="M800">
        <v>8</v>
      </c>
      <c r="N800">
        <v>336</v>
      </c>
      <c r="O800">
        <v>5.7142857142857144</v>
      </c>
      <c r="P800">
        <v>1</v>
      </c>
    </row>
    <row r="801" spans="1:16" x14ac:dyDescent="0.45">
      <c r="A801" t="s">
        <v>55</v>
      </c>
      <c r="B801" t="s">
        <v>25</v>
      </c>
      <c r="C801" t="s">
        <v>26</v>
      </c>
      <c r="D801" t="s">
        <v>49</v>
      </c>
      <c r="E801">
        <v>28</v>
      </c>
      <c r="F801">
        <v>40</v>
      </c>
      <c r="G801" t="s">
        <v>69</v>
      </c>
      <c r="H801" t="s">
        <v>41</v>
      </c>
      <c r="I801" s="24">
        <v>46081</v>
      </c>
      <c r="J801" t="s">
        <v>118</v>
      </c>
      <c r="K801" t="s">
        <v>117</v>
      </c>
      <c r="L801" t="s">
        <v>118</v>
      </c>
      <c r="M801">
        <v>0</v>
      </c>
      <c r="N801">
        <v>0</v>
      </c>
      <c r="O801">
        <v>5.7142857142857144</v>
      </c>
      <c r="P801">
        <v>0</v>
      </c>
    </row>
    <row r="802" spans="1:16" x14ac:dyDescent="0.45">
      <c r="A802" t="s">
        <v>56</v>
      </c>
      <c r="B802" t="s">
        <v>29</v>
      </c>
      <c r="C802" t="s">
        <v>29</v>
      </c>
      <c r="D802" t="s">
        <v>49</v>
      </c>
      <c r="E802">
        <v>20</v>
      </c>
      <c r="F802">
        <v>40</v>
      </c>
      <c r="G802" t="s">
        <v>69</v>
      </c>
      <c r="H802" t="s">
        <v>45</v>
      </c>
      <c r="I802" s="24">
        <v>46081</v>
      </c>
      <c r="J802" t="s">
        <v>118</v>
      </c>
      <c r="K802" t="s">
        <v>117</v>
      </c>
      <c r="L802" t="s">
        <v>118</v>
      </c>
      <c r="M802">
        <v>8</v>
      </c>
      <c r="N802">
        <v>240</v>
      </c>
      <c r="O802">
        <v>5.7142857142857144</v>
      </c>
      <c r="P802">
        <v>1</v>
      </c>
    </row>
    <row r="803" spans="1:16" x14ac:dyDescent="0.45">
      <c r="A803" t="s">
        <v>57</v>
      </c>
      <c r="B803" t="s">
        <v>29</v>
      </c>
      <c r="C803" t="s">
        <v>29</v>
      </c>
      <c r="D803" t="s">
        <v>49</v>
      </c>
      <c r="E803">
        <v>20</v>
      </c>
      <c r="F803">
        <v>40</v>
      </c>
      <c r="G803" t="s">
        <v>69</v>
      </c>
      <c r="H803" t="s">
        <v>41</v>
      </c>
      <c r="I803" s="24">
        <v>46081</v>
      </c>
      <c r="J803" t="s">
        <v>118</v>
      </c>
      <c r="K803" t="s">
        <v>117</v>
      </c>
      <c r="L803" t="s">
        <v>118</v>
      </c>
      <c r="M803">
        <v>0</v>
      </c>
      <c r="N803">
        <v>0</v>
      </c>
      <c r="O803">
        <v>5.7142857142857144</v>
      </c>
      <c r="P803">
        <v>0</v>
      </c>
    </row>
    <row r="804" spans="1:16" x14ac:dyDescent="0.45">
      <c r="A804" t="s">
        <v>58</v>
      </c>
      <c r="B804" t="s">
        <v>29</v>
      </c>
      <c r="C804" t="s">
        <v>29</v>
      </c>
      <c r="D804" t="s">
        <v>49</v>
      </c>
      <c r="E804">
        <v>20</v>
      </c>
      <c r="F804">
        <v>40</v>
      </c>
      <c r="G804" t="s">
        <v>69</v>
      </c>
      <c r="H804" t="s">
        <v>44</v>
      </c>
      <c r="I804" s="24">
        <v>46081</v>
      </c>
      <c r="J804" t="s">
        <v>118</v>
      </c>
      <c r="K804" t="s">
        <v>117</v>
      </c>
      <c r="L804" t="s">
        <v>118</v>
      </c>
      <c r="M804">
        <v>8</v>
      </c>
      <c r="N804">
        <v>240</v>
      </c>
      <c r="O804">
        <v>5.7142857142857144</v>
      </c>
      <c r="P804">
        <v>1</v>
      </c>
    </row>
    <row r="805" spans="1:16" x14ac:dyDescent="0.45">
      <c r="A805" t="s">
        <v>59</v>
      </c>
      <c r="B805" t="s">
        <v>29</v>
      </c>
      <c r="C805" t="s">
        <v>29</v>
      </c>
      <c r="D805" t="s">
        <v>60</v>
      </c>
      <c r="E805">
        <v>15</v>
      </c>
      <c r="F805">
        <v>20</v>
      </c>
      <c r="G805" t="s">
        <v>69</v>
      </c>
      <c r="H805" t="s">
        <v>41</v>
      </c>
      <c r="I805" s="24">
        <v>46081</v>
      </c>
      <c r="J805" t="s">
        <v>118</v>
      </c>
      <c r="K805" t="s">
        <v>117</v>
      </c>
      <c r="L805" t="s">
        <v>118</v>
      </c>
      <c r="M805">
        <v>0</v>
      </c>
      <c r="N805">
        <v>0</v>
      </c>
      <c r="O805">
        <v>2.8571428571428572</v>
      </c>
      <c r="P805">
        <v>0</v>
      </c>
    </row>
    <row r="806" spans="1:16" x14ac:dyDescent="0.45">
      <c r="A806" t="s">
        <v>61</v>
      </c>
      <c r="B806" t="s">
        <v>29</v>
      </c>
      <c r="C806" t="s">
        <v>29</v>
      </c>
      <c r="D806" t="s">
        <v>60</v>
      </c>
      <c r="E806">
        <v>15</v>
      </c>
      <c r="F806">
        <v>20</v>
      </c>
      <c r="G806" t="s">
        <v>69</v>
      </c>
      <c r="H806" t="s">
        <v>41</v>
      </c>
      <c r="I806" s="24">
        <v>46081</v>
      </c>
      <c r="J806" t="s">
        <v>118</v>
      </c>
      <c r="K806" t="s">
        <v>117</v>
      </c>
      <c r="L806" t="s">
        <v>118</v>
      </c>
      <c r="M806">
        <v>0</v>
      </c>
      <c r="N806">
        <v>0</v>
      </c>
      <c r="O806">
        <v>2.8571428571428572</v>
      </c>
      <c r="P806">
        <v>0</v>
      </c>
    </row>
    <row r="807" spans="1:16" x14ac:dyDescent="0.45">
      <c r="A807" t="s">
        <v>62</v>
      </c>
      <c r="B807" t="s">
        <v>29</v>
      </c>
      <c r="C807" t="s">
        <v>29</v>
      </c>
      <c r="D807" t="s">
        <v>60</v>
      </c>
      <c r="E807">
        <v>15</v>
      </c>
      <c r="F807">
        <v>20</v>
      </c>
      <c r="G807" t="s">
        <v>69</v>
      </c>
      <c r="H807" t="s">
        <v>40</v>
      </c>
      <c r="I807" s="24">
        <v>46081</v>
      </c>
      <c r="J807" t="s">
        <v>118</v>
      </c>
      <c r="K807" t="s">
        <v>117</v>
      </c>
      <c r="L807" t="s">
        <v>118</v>
      </c>
      <c r="M807">
        <v>5</v>
      </c>
      <c r="N807">
        <v>112.5</v>
      </c>
      <c r="O807">
        <v>2.8571428571428572</v>
      </c>
      <c r="P807">
        <v>1</v>
      </c>
    </row>
    <row r="808" spans="1:16" x14ac:dyDescent="0.45">
      <c r="A808" t="s">
        <v>48</v>
      </c>
      <c r="B808" t="s">
        <v>30</v>
      </c>
      <c r="C808" t="s">
        <v>28</v>
      </c>
      <c r="D808" t="s">
        <v>49</v>
      </c>
      <c r="E808">
        <v>30</v>
      </c>
      <c r="F808">
        <v>40</v>
      </c>
      <c r="G808" t="s">
        <v>70</v>
      </c>
      <c r="H808" t="s">
        <v>41</v>
      </c>
      <c r="I808" s="24">
        <v>46082</v>
      </c>
      <c r="J808" t="s">
        <v>117</v>
      </c>
      <c r="K808" t="s">
        <v>117</v>
      </c>
      <c r="L808" t="s">
        <v>117</v>
      </c>
      <c r="M808">
        <v>0</v>
      </c>
      <c r="N808">
        <v>0</v>
      </c>
      <c r="O808">
        <v>5.7142857142857144</v>
      </c>
      <c r="P808">
        <v>0</v>
      </c>
    </row>
    <row r="809" spans="1:16" x14ac:dyDescent="0.45">
      <c r="A809" t="s">
        <v>50</v>
      </c>
      <c r="B809" t="s">
        <v>27</v>
      </c>
      <c r="C809" t="s">
        <v>28</v>
      </c>
      <c r="D809" t="s">
        <v>49</v>
      </c>
      <c r="E809">
        <v>25</v>
      </c>
      <c r="F809">
        <v>40</v>
      </c>
      <c r="G809" t="s">
        <v>70</v>
      </c>
      <c r="H809" t="s">
        <v>37</v>
      </c>
      <c r="I809" s="24">
        <v>46082</v>
      </c>
      <c r="J809" t="s">
        <v>117</v>
      </c>
      <c r="K809" t="s">
        <v>117</v>
      </c>
      <c r="L809" t="s">
        <v>117</v>
      </c>
      <c r="M809">
        <v>7</v>
      </c>
      <c r="N809">
        <v>175</v>
      </c>
      <c r="O809">
        <v>5.7142857142857144</v>
      </c>
      <c r="P809">
        <v>0</v>
      </c>
    </row>
    <row r="810" spans="1:16" x14ac:dyDescent="0.45">
      <c r="A810" t="s">
        <v>51</v>
      </c>
      <c r="B810" t="s">
        <v>27</v>
      </c>
      <c r="C810" t="s">
        <v>28</v>
      </c>
      <c r="D810" t="s">
        <v>49</v>
      </c>
      <c r="E810">
        <v>25</v>
      </c>
      <c r="F810">
        <v>40</v>
      </c>
      <c r="G810" t="s">
        <v>70</v>
      </c>
      <c r="H810" t="s">
        <v>35</v>
      </c>
      <c r="I810" s="24">
        <v>46082</v>
      </c>
      <c r="J810" t="s">
        <v>117</v>
      </c>
      <c r="K810" t="s">
        <v>117</v>
      </c>
      <c r="L810" t="s">
        <v>117</v>
      </c>
      <c r="M810">
        <v>7</v>
      </c>
      <c r="N810">
        <v>175</v>
      </c>
      <c r="O810">
        <v>5.7142857142857144</v>
      </c>
      <c r="P810">
        <v>0</v>
      </c>
    </row>
    <row r="811" spans="1:16" x14ac:dyDescent="0.45">
      <c r="A811" t="s">
        <v>52</v>
      </c>
      <c r="B811" t="s">
        <v>26</v>
      </c>
      <c r="C811" t="s">
        <v>26</v>
      </c>
      <c r="D811" t="s">
        <v>49</v>
      </c>
      <c r="E811">
        <v>35</v>
      </c>
      <c r="F811">
        <v>40</v>
      </c>
      <c r="G811" t="s">
        <v>70</v>
      </c>
      <c r="H811" t="s">
        <v>41</v>
      </c>
      <c r="I811" s="24">
        <v>46082</v>
      </c>
      <c r="J811" t="s">
        <v>117</v>
      </c>
      <c r="K811" t="s">
        <v>117</v>
      </c>
      <c r="L811" t="s">
        <v>117</v>
      </c>
      <c r="M811">
        <v>0</v>
      </c>
      <c r="N811">
        <v>0</v>
      </c>
      <c r="O811">
        <v>5.7142857142857144</v>
      </c>
      <c r="P811">
        <v>0</v>
      </c>
    </row>
    <row r="812" spans="1:16" x14ac:dyDescent="0.45">
      <c r="A812" t="s">
        <v>53</v>
      </c>
      <c r="B812" t="s">
        <v>26</v>
      </c>
      <c r="C812" t="s">
        <v>26</v>
      </c>
      <c r="D812" t="s">
        <v>49</v>
      </c>
      <c r="E812">
        <v>35</v>
      </c>
      <c r="F812">
        <v>40</v>
      </c>
      <c r="G812" t="s">
        <v>70</v>
      </c>
      <c r="H812" t="s">
        <v>42</v>
      </c>
      <c r="I812" s="24">
        <v>46082</v>
      </c>
      <c r="J812" t="s">
        <v>117</v>
      </c>
      <c r="K812" t="s">
        <v>117</v>
      </c>
      <c r="L812" t="s">
        <v>117</v>
      </c>
      <c r="M812">
        <v>8</v>
      </c>
      <c r="N812">
        <v>280</v>
      </c>
      <c r="O812">
        <v>5.7142857142857144</v>
      </c>
      <c r="P812">
        <v>0</v>
      </c>
    </row>
    <row r="813" spans="1:16" x14ac:dyDescent="0.45">
      <c r="A813" t="s">
        <v>54</v>
      </c>
      <c r="B813" t="s">
        <v>25</v>
      </c>
      <c r="C813" t="s">
        <v>26</v>
      </c>
      <c r="D813" t="s">
        <v>49</v>
      </c>
      <c r="E813">
        <v>28</v>
      </c>
      <c r="F813">
        <v>40</v>
      </c>
      <c r="G813" t="s">
        <v>70</v>
      </c>
      <c r="H813" t="s">
        <v>44</v>
      </c>
      <c r="I813" s="24">
        <v>46082</v>
      </c>
      <c r="J813" t="s">
        <v>117</v>
      </c>
      <c r="K813" t="s">
        <v>117</v>
      </c>
      <c r="L813" t="s">
        <v>117</v>
      </c>
      <c r="M813">
        <v>8</v>
      </c>
      <c r="N813">
        <v>224</v>
      </c>
      <c r="O813">
        <v>5.7142857142857144</v>
      </c>
      <c r="P813">
        <v>0</v>
      </c>
    </row>
    <row r="814" spans="1:16" x14ac:dyDescent="0.45">
      <c r="A814" t="s">
        <v>55</v>
      </c>
      <c r="B814" t="s">
        <v>25</v>
      </c>
      <c r="C814" t="s">
        <v>26</v>
      </c>
      <c r="D814" t="s">
        <v>49</v>
      </c>
      <c r="E814">
        <v>28</v>
      </c>
      <c r="F814">
        <v>40</v>
      </c>
      <c r="G814" t="s">
        <v>70</v>
      </c>
      <c r="H814" t="s">
        <v>41</v>
      </c>
      <c r="I814" s="24">
        <v>46082</v>
      </c>
      <c r="J814" t="s">
        <v>117</v>
      </c>
      <c r="K814" t="s">
        <v>117</v>
      </c>
      <c r="L814" t="s">
        <v>117</v>
      </c>
      <c r="M814">
        <v>0</v>
      </c>
      <c r="N814">
        <v>0</v>
      </c>
      <c r="O814">
        <v>5.7142857142857144</v>
      </c>
      <c r="P814">
        <v>0</v>
      </c>
    </row>
    <row r="815" spans="1:16" x14ac:dyDescent="0.45">
      <c r="A815" t="s">
        <v>56</v>
      </c>
      <c r="B815" t="s">
        <v>29</v>
      </c>
      <c r="C815" t="s">
        <v>29</v>
      </c>
      <c r="D815" t="s">
        <v>49</v>
      </c>
      <c r="E815">
        <v>20</v>
      </c>
      <c r="F815">
        <v>40</v>
      </c>
      <c r="G815" t="s">
        <v>70</v>
      </c>
      <c r="H815" t="s">
        <v>45</v>
      </c>
      <c r="I815" s="24">
        <v>46082</v>
      </c>
      <c r="J815" t="s">
        <v>117</v>
      </c>
      <c r="K815" t="s">
        <v>117</v>
      </c>
      <c r="L815" t="s">
        <v>117</v>
      </c>
      <c r="M815">
        <v>8</v>
      </c>
      <c r="N815">
        <v>160</v>
      </c>
      <c r="O815">
        <v>5.7142857142857144</v>
      </c>
      <c r="P815">
        <v>0</v>
      </c>
    </row>
    <row r="816" spans="1:16" x14ac:dyDescent="0.45">
      <c r="A816" t="s">
        <v>57</v>
      </c>
      <c r="B816" t="s">
        <v>29</v>
      </c>
      <c r="C816" t="s">
        <v>29</v>
      </c>
      <c r="D816" t="s">
        <v>49</v>
      </c>
      <c r="E816">
        <v>20</v>
      </c>
      <c r="F816">
        <v>40</v>
      </c>
      <c r="G816" t="s">
        <v>70</v>
      </c>
      <c r="H816" t="s">
        <v>41</v>
      </c>
      <c r="I816" s="24">
        <v>46082</v>
      </c>
      <c r="J816" t="s">
        <v>117</v>
      </c>
      <c r="K816" t="s">
        <v>117</v>
      </c>
      <c r="L816" t="s">
        <v>117</v>
      </c>
      <c r="M816">
        <v>0</v>
      </c>
      <c r="N816">
        <v>0</v>
      </c>
      <c r="O816">
        <v>5.7142857142857144</v>
      </c>
      <c r="P816">
        <v>0</v>
      </c>
    </row>
    <row r="817" spans="1:16" x14ac:dyDescent="0.45">
      <c r="A817" t="s">
        <v>58</v>
      </c>
      <c r="B817" t="s">
        <v>29</v>
      </c>
      <c r="C817" t="s">
        <v>29</v>
      </c>
      <c r="D817" t="s">
        <v>49</v>
      </c>
      <c r="E817">
        <v>20</v>
      </c>
      <c r="F817">
        <v>40</v>
      </c>
      <c r="G817" t="s">
        <v>70</v>
      </c>
      <c r="H817" t="s">
        <v>44</v>
      </c>
      <c r="I817" s="24">
        <v>46082</v>
      </c>
      <c r="J817" t="s">
        <v>117</v>
      </c>
      <c r="K817" t="s">
        <v>117</v>
      </c>
      <c r="L817" t="s">
        <v>117</v>
      </c>
      <c r="M817">
        <v>8</v>
      </c>
      <c r="N817">
        <v>160</v>
      </c>
      <c r="O817">
        <v>5.7142857142857144</v>
      </c>
      <c r="P817">
        <v>0</v>
      </c>
    </row>
    <row r="818" spans="1:16" x14ac:dyDescent="0.45">
      <c r="A818" t="s">
        <v>59</v>
      </c>
      <c r="B818" t="s">
        <v>29</v>
      </c>
      <c r="C818" t="s">
        <v>29</v>
      </c>
      <c r="D818" t="s">
        <v>60</v>
      </c>
      <c r="E818">
        <v>15</v>
      </c>
      <c r="F818">
        <v>20</v>
      </c>
      <c r="G818" t="s">
        <v>70</v>
      </c>
      <c r="H818" t="s">
        <v>41</v>
      </c>
      <c r="I818" s="24">
        <v>46082</v>
      </c>
      <c r="J818" t="s">
        <v>117</v>
      </c>
      <c r="K818" t="s">
        <v>117</v>
      </c>
      <c r="L818" t="s">
        <v>117</v>
      </c>
      <c r="M818">
        <v>0</v>
      </c>
      <c r="N818">
        <v>0</v>
      </c>
      <c r="O818">
        <v>2.8571428571428572</v>
      </c>
      <c r="P818">
        <v>0</v>
      </c>
    </row>
    <row r="819" spans="1:16" x14ac:dyDescent="0.45">
      <c r="A819" t="s">
        <v>61</v>
      </c>
      <c r="B819" t="s">
        <v>29</v>
      </c>
      <c r="C819" t="s">
        <v>29</v>
      </c>
      <c r="D819" t="s">
        <v>60</v>
      </c>
      <c r="E819">
        <v>15</v>
      </c>
      <c r="F819">
        <v>20</v>
      </c>
      <c r="G819" t="s">
        <v>70</v>
      </c>
      <c r="H819" t="s">
        <v>41</v>
      </c>
      <c r="I819" s="24">
        <v>46082</v>
      </c>
      <c r="J819" t="s">
        <v>117</v>
      </c>
      <c r="K819" t="s">
        <v>117</v>
      </c>
      <c r="L819" t="s">
        <v>117</v>
      </c>
      <c r="M819">
        <v>0</v>
      </c>
      <c r="N819">
        <v>0</v>
      </c>
      <c r="O819">
        <v>2.8571428571428572</v>
      </c>
      <c r="P819">
        <v>0</v>
      </c>
    </row>
    <row r="820" spans="1:16" x14ac:dyDescent="0.45">
      <c r="A820" t="s">
        <v>62</v>
      </c>
      <c r="B820" t="s">
        <v>29</v>
      </c>
      <c r="C820" t="s">
        <v>29</v>
      </c>
      <c r="D820" t="s">
        <v>60</v>
      </c>
      <c r="E820">
        <v>15</v>
      </c>
      <c r="F820">
        <v>20</v>
      </c>
      <c r="G820" t="s">
        <v>70</v>
      </c>
      <c r="H820" t="s">
        <v>46</v>
      </c>
      <c r="I820" s="24">
        <v>46082</v>
      </c>
      <c r="J820" t="s">
        <v>117</v>
      </c>
      <c r="K820" t="s">
        <v>117</v>
      </c>
      <c r="L820" t="s">
        <v>117</v>
      </c>
      <c r="M820">
        <v>5</v>
      </c>
      <c r="N820">
        <v>75</v>
      </c>
      <c r="O820">
        <v>2.8571428571428572</v>
      </c>
      <c r="P820">
        <v>0</v>
      </c>
    </row>
    <row r="821" spans="1:16" x14ac:dyDescent="0.45">
      <c r="A821" t="s">
        <v>48</v>
      </c>
      <c r="B821" t="s">
        <v>30</v>
      </c>
      <c r="C821" t="s">
        <v>28</v>
      </c>
      <c r="D821" t="s">
        <v>49</v>
      </c>
      <c r="E821">
        <v>30</v>
      </c>
      <c r="F821">
        <v>40</v>
      </c>
      <c r="G821" t="s">
        <v>64</v>
      </c>
      <c r="H821" t="s">
        <v>35</v>
      </c>
      <c r="I821" s="24">
        <v>46083</v>
      </c>
      <c r="J821" t="s">
        <v>117</v>
      </c>
      <c r="K821" t="s">
        <v>117</v>
      </c>
      <c r="L821" t="s">
        <v>117</v>
      </c>
      <c r="M821">
        <v>7</v>
      </c>
      <c r="N821">
        <v>210</v>
      </c>
      <c r="O821">
        <v>5.7142857142857144</v>
      </c>
      <c r="P821">
        <v>0</v>
      </c>
    </row>
    <row r="822" spans="1:16" x14ac:dyDescent="0.45">
      <c r="A822" t="s">
        <v>50</v>
      </c>
      <c r="B822" t="s">
        <v>27</v>
      </c>
      <c r="C822" t="s">
        <v>28</v>
      </c>
      <c r="D822" t="s">
        <v>49</v>
      </c>
      <c r="E822">
        <v>25</v>
      </c>
      <c r="F822">
        <v>40</v>
      </c>
      <c r="G822" t="s">
        <v>64</v>
      </c>
      <c r="H822" t="s">
        <v>37</v>
      </c>
      <c r="I822" s="24">
        <v>46083</v>
      </c>
      <c r="J822" t="s">
        <v>117</v>
      </c>
      <c r="K822" t="s">
        <v>117</v>
      </c>
      <c r="L822" t="s">
        <v>117</v>
      </c>
      <c r="M822">
        <v>7</v>
      </c>
      <c r="N822">
        <v>175</v>
      </c>
      <c r="O822">
        <v>5.7142857142857144</v>
      </c>
      <c r="P822">
        <v>0</v>
      </c>
    </row>
    <row r="823" spans="1:16" x14ac:dyDescent="0.45">
      <c r="A823" t="s">
        <v>51</v>
      </c>
      <c r="B823" t="s">
        <v>27</v>
      </c>
      <c r="C823" t="s">
        <v>28</v>
      </c>
      <c r="D823" t="s">
        <v>49</v>
      </c>
      <c r="E823">
        <v>25</v>
      </c>
      <c r="F823">
        <v>40</v>
      </c>
      <c r="G823" t="s">
        <v>64</v>
      </c>
      <c r="H823" t="s">
        <v>41</v>
      </c>
      <c r="I823" s="24">
        <v>46083</v>
      </c>
      <c r="J823" t="s">
        <v>117</v>
      </c>
      <c r="K823" t="s">
        <v>117</v>
      </c>
      <c r="L823" t="s">
        <v>117</v>
      </c>
      <c r="M823">
        <v>0</v>
      </c>
      <c r="N823">
        <v>0</v>
      </c>
      <c r="O823">
        <v>5.7142857142857144</v>
      </c>
      <c r="P823">
        <v>0</v>
      </c>
    </row>
    <row r="824" spans="1:16" x14ac:dyDescent="0.45">
      <c r="A824" t="s">
        <v>52</v>
      </c>
      <c r="B824" t="s">
        <v>26</v>
      </c>
      <c r="C824" t="s">
        <v>26</v>
      </c>
      <c r="D824" t="s">
        <v>49</v>
      </c>
      <c r="E824">
        <v>35</v>
      </c>
      <c r="F824">
        <v>40</v>
      </c>
      <c r="G824" t="s">
        <v>64</v>
      </c>
      <c r="H824" t="s">
        <v>42</v>
      </c>
      <c r="I824" s="24">
        <v>46083</v>
      </c>
      <c r="J824" t="s">
        <v>117</v>
      </c>
      <c r="K824" t="s">
        <v>117</v>
      </c>
      <c r="L824" t="s">
        <v>117</v>
      </c>
      <c r="M824">
        <v>8</v>
      </c>
      <c r="N824">
        <v>280</v>
      </c>
      <c r="O824">
        <v>5.7142857142857144</v>
      </c>
      <c r="P824">
        <v>0</v>
      </c>
    </row>
    <row r="825" spans="1:16" x14ac:dyDescent="0.45">
      <c r="A825" t="s">
        <v>53</v>
      </c>
      <c r="B825" t="s">
        <v>26</v>
      </c>
      <c r="C825" t="s">
        <v>26</v>
      </c>
      <c r="D825" t="s">
        <v>49</v>
      </c>
      <c r="E825">
        <v>35</v>
      </c>
      <c r="F825">
        <v>40</v>
      </c>
      <c r="G825" t="s">
        <v>64</v>
      </c>
      <c r="H825" t="s">
        <v>44</v>
      </c>
      <c r="I825" s="24">
        <v>46083</v>
      </c>
      <c r="J825" t="s">
        <v>117</v>
      </c>
      <c r="K825" t="s">
        <v>117</v>
      </c>
      <c r="L825" t="s">
        <v>117</v>
      </c>
      <c r="M825">
        <v>8</v>
      </c>
      <c r="N825">
        <v>280</v>
      </c>
      <c r="O825">
        <v>5.7142857142857144</v>
      </c>
      <c r="P825">
        <v>0</v>
      </c>
    </row>
    <row r="826" spans="1:16" x14ac:dyDescent="0.45">
      <c r="A826" t="s">
        <v>54</v>
      </c>
      <c r="B826" t="s">
        <v>25</v>
      </c>
      <c r="C826" t="s">
        <v>26</v>
      </c>
      <c r="D826" t="s">
        <v>49</v>
      </c>
      <c r="E826">
        <v>28</v>
      </c>
      <c r="F826">
        <v>40</v>
      </c>
      <c r="G826" t="s">
        <v>64</v>
      </c>
      <c r="H826" t="s">
        <v>41</v>
      </c>
      <c r="I826" s="24">
        <v>46083</v>
      </c>
      <c r="J826" t="s">
        <v>117</v>
      </c>
      <c r="K826" t="s">
        <v>117</v>
      </c>
      <c r="L826" t="s">
        <v>117</v>
      </c>
      <c r="M826">
        <v>0</v>
      </c>
      <c r="N826">
        <v>0</v>
      </c>
      <c r="O826">
        <v>5.7142857142857144</v>
      </c>
      <c r="P826">
        <v>0</v>
      </c>
    </row>
    <row r="827" spans="1:16" x14ac:dyDescent="0.45">
      <c r="A827" t="s">
        <v>55</v>
      </c>
      <c r="B827" t="s">
        <v>25</v>
      </c>
      <c r="C827" t="s">
        <v>26</v>
      </c>
      <c r="D827" t="s">
        <v>49</v>
      </c>
      <c r="E827">
        <v>28</v>
      </c>
      <c r="F827">
        <v>40</v>
      </c>
      <c r="G827" t="s">
        <v>64</v>
      </c>
      <c r="H827" t="s">
        <v>44</v>
      </c>
      <c r="I827" s="24">
        <v>46083</v>
      </c>
      <c r="J827" t="s">
        <v>117</v>
      </c>
      <c r="K827" t="s">
        <v>117</v>
      </c>
      <c r="L827" t="s">
        <v>117</v>
      </c>
      <c r="M827">
        <v>8</v>
      </c>
      <c r="N827">
        <v>224</v>
      </c>
      <c r="O827">
        <v>5.7142857142857144</v>
      </c>
      <c r="P827">
        <v>0</v>
      </c>
    </row>
    <row r="828" spans="1:16" x14ac:dyDescent="0.45">
      <c r="A828" t="s">
        <v>56</v>
      </c>
      <c r="B828" t="s">
        <v>29</v>
      </c>
      <c r="C828" t="s">
        <v>29</v>
      </c>
      <c r="D828" t="s">
        <v>49</v>
      </c>
      <c r="E828">
        <v>20</v>
      </c>
      <c r="F828">
        <v>40</v>
      </c>
      <c r="G828" t="s">
        <v>64</v>
      </c>
      <c r="H828" t="s">
        <v>45</v>
      </c>
      <c r="I828" s="24">
        <v>46083</v>
      </c>
      <c r="J828" t="s">
        <v>117</v>
      </c>
      <c r="K828" t="s">
        <v>117</v>
      </c>
      <c r="L828" t="s">
        <v>117</v>
      </c>
      <c r="M828">
        <v>8</v>
      </c>
      <c r="N828">
        <v>160</v>
      </c>
      <c r="O828">
        <v>5.7142857142857144</v>
      </c>
      <c r="P828">
        <v>0</v>
      </c>
    </row>
    <row r="829" spans="1:16" x14ac:dyDescent="0.45">
      <c r="A829" t="s">
        <v>57</v>
      </c>
      <c r="B829" t="s">
        <v>29</v>
      </c>
      <c r="C829" t="s">
        <v>29</v>
      </c>
      <c r="D829" t="s">
        <v>49</v>
      </c>
      <c r="E829">
        <v>20</v>
      </c>
      <c r="F829">
        <v>40</v>
      </c>
      <c r="G829" t="s">
        <v>64</v>
      </c>
      <c r="H829" t="s">
        <v>44</v>
      </c>
      <c r="I829" s="24">
        <v>46083</v>
      </c>
      <c r="J829" t="s">
        <v>117</v>
      </c>
      <c r="K829" t="s">
        <v>117</v>
      </c>
      <c r="L829" t="s">
        <v>117</v>
      </c>
      <c r="M829">
        <v>8</v>
      </c>
      <c r="N829">
        <v>160</v>
      </c>
      <c r="O829">
        <v>5.7142857142857144</v>
      </c>
      <c r="P829">
        <v>0</v>
      </c>
    </row>
    <row r="830" spans="1:16" x14ac:dyDescent="0.45">
      <c r="A830" t="s">
        <v>58</v>
      </c>
      <c r="B830" t="s">
        <v>29</v>
      </c>
      <c r="C830" t="s">
        <v>29</v>
      </c>
      <c r="D830" t="s">
        <v>49</v>
      </c>
      <c r="E830">
        <v>20</v>
      </c>
      <c r="F830">
        <v>40</v>
      </c>
      <c r="G830" t="s">
        <v>64</v>
      </c>
      <c r="H830" t="s">
        <v>41</v>
      </c>
      <c r="I830" s="24">
        <v>46083</v>
      </c>
      <c r="J830" t="s">
        <v>117</v>
      </c>
      <c r="K830" t="s">
        <v>117</v>
      </c>
      <c r="L830" t="s">
        <v>117</v>
      </c>
      <c r="M830">
        <v>0</v>
      </c>
      <c r="N830">
        <v>0</v>
      </c>
      <c r="O830">
        <v>5.7142857142857144</v>
      </c>
      <c r="P830">
        <v>0</v>
      </c>
    </row>
    <row r="831" spans="1:16" x14ac:dyDescent="0.45">
      <c r="A831" t="s">
        <v>59</v>
      </c>
      <c r="B831" t="s">
        <v>29</v>
      </c>
      <c r="C831" t="s">
        <v>29</v>
      </c>
      <c r="D831" t="s">
        <v>60</v>
      </c>
      <c r="E831">
        <v>15</v>
      </c>
      <c r="F831">
        <v>20</v>
      </c>
      <c r="G831" t="s">
        <v>64</v>
      </c>
      <c r="H831" t="s">
        <v>41</v>
      </c>
      <c r="I831" s="24">
        <v>46083</v>
      </c>
      <c r="J831" t="s">
        <v>117</v>
      </c>
      <c r="K831" t="s">
        <v>117</v>
      </c>
      <c r="L831" t="s">
        <v>117</v>
      </c>
      <c r="M831">
        <v>0</v>
      </c>
      <c r="N831">
        <v>0</v>
      </c>
      <c r="O831">
        <v>2.8571428571428572</v>
      </c>
      <c r="P831">
        <v>0</v>
      </c>
    </row>
    <row r="832" spans="1:16" x14ac:dyDescent="0.45">
      <c r="A832" t="s">
        <v>61</v>
      </c>
      <c r="B832" t="s">
        <v>29</v>
      </c>
      <c r="C832" t="s">
        <v>29</v>
      </c>
      <c r="D832" t="s">
        <v>60</v>
      </c>
      <c r="E832">
        <v>15</v>
      </c>
      <c r="F832">
        <v>20</v>
      </c>
      <c r="G832" t="s">
        <v>64</v>
      </c>
      <c r="H832" t="s">
        <v>46</v>
      </c>
      <c r="I832" s="24">
        <v>46083</v>
      </c>
      <c r="J832" t="s">
        <v>117</v>
      </c>
      <c r="K832" t="s">
        <v>117</v>
      </c>
      <c r="L832" t="s">
        <v>117</v>
      </c>
      <c r="M832">
        <v>5</v>
      </c>
      <c r="N832">
        <v>75</v>
      </c>
      <c r="O832">
        <v>2.8571428571428572</v>
      </c>
      <c r="P832">
        <v>0</v>
      </c>
    </row>
    <row r="833" spans="1:16" x14ac:dyDescent="0.45">
      <c r="A833" t="s">
        <v>62</v>
      </c>
      <c r="B833" t="s">
        <v>29</v>
      </c>
      <c r="C833" t="s">
        <v>29</v>
      </c>
      <c r="D833" t="s">
        <v>60</v>
      </c>
      <c r="E833">
        <v>15</v>
      </c>
      <c r="F833">
        <v>20</v>
      </c>
      <c r="G833" t="s">
        <v>64</v>
      </c>
      <c r="H833" t="s">
        <v>40</v>
      </c>
      <c r="I833" s="24">
        <v>46083</v>
      </c>
      <c r="J833" t="s">
        <v>117</v>
      </c>
      <c r="K833" t="s">
        <v>117</v>
      </c>
      <c r="L833" t="s">
        <v>117</v>
      </c>
      <c r="M833">
        <v>5</v>
      </c>
      <c r="N833">
        <v>75</v>
      </c>
      <c r="O833">
        <v>2.8571428571428572</v>
      </c>
      <c r="P833">
        <v>0</v>
      </c>
    </row>
    <row r="834" spans="1:16" x14ac:dyDescent="0.45">
      <c r="A834" t="s">
        <v>48</v>
      </c>
      <c r="B834" t="s">
        <v>30</v>
      </c>
      <c r="C834" t="s">
        <v>28</v>
      </c>
      <c r="D834" t="s">
        <v>49</v>
      </c>
      <c r="E834">
        <v>30</v>
      </c>
      <c r="F834">
        <v>40</v>
      </c>
      <c r="G834" t="s">
        <v>65</v>
      </c>
      <c r="H834" t="s">
        <v>35</v>
      </c>
      <c r="I834" s="24">
        <v>46084</v>
      </c>
      <c r="J834" t="s">
        <v>117</v>
      </c>
      <c r="K834" t="s">
        <v>117</v>
      </c>
      <c r="L834" t="s">
        <v>117</v>
      </c>
      <c r="M834">
        <v>7</v>
      </c>
      <c r="N834">
        <v>210</v>
      </c>
      <c r="O834">
        <v>5.7142857142857144</v>
      </c>
      <c r="P834">
        <v>0</v>
      </c>
    </row>
    <row r="835" spans="1:16" x14ac:dyDescent="0.45">
      <c r="A835" t="s">
        <v>50</v>
      </c>
      <c r="B835" t="s">
        <v>27</v>
      </c>
      <c r="C835" t="s">
        <v>28</v>
      </c>
      <c r="D835" t="s">
        <v>49</v>
      </c>
      <c r="E835">
        <v>25</v>
      </c>
      <c r="F835">
        <v>40</v>
      </c>
      <c r="G835" t="s">
        <v>65</v>
      </c>
      <c r="H835" t="s">
        <v>37</v>
      </c>
      <c r="I835" s="24">
        <v>46084</v>
      </c>
      <c r="J835" t="s">
        <v>117</v>
      </c>
      <c r="K835" t="s">
        <v>117</v>
      </c>
      <c r="L835" t="s">
        <v>117</v>
      </c>
      <c r="M835">
        <v>7</v>
      </c>
      <c r="N835">
        <v>175</v>
      </c>
      <c r="O835">
        <v>5.7142857142857144</v>
      </c>
      <c r="P835">
        <v>0</v>
      </c>
    </row>
    <row r="836" spans="1:16" x14ac:dyDescent="0.45">
      <c r="A836" t="s">
        <v>51</v>
      </c>
      <c r="B836" t="s">
        <v>27</v>
      </c>
      <c r="C836" t="s">
        <v>28</v>
      </c>
      <c r="D836" t="s">
        <v>49</v>
      </c>
      <c r="E836">
        <v>25</v>
      </c>
      <c r="F836">
        <v>40</v>
      </c>
      <c r="G836" t="s">
        <v>65</v>
      </c>
      <c r="H836" t="s">
        <v>35</v>
      </c>
      <c r="I836" s="24">
        <v>46084</v>
      </c>
      <c r="J836" t="s">
        <v>117</v>
      </c>
      <c r="K836" t="s">
        <v>117</v>
      </c>
      <c r="L836" t="s">
        <v>117</v>
      </c>
      <c r="M836">
        <v>7</v>
      </c>
      <c r="N836">
        <v>175</v>
      </c>
      <c r="O836">
        <v>5.7142857142857144</v>
      </c>
      <c r="P836">
        <v>0</v>
      </c>
    </row>
    <row r="837" spans="1:16" x14ac:dyDescent="0.45">
      <c r="A837" t="s">
        <v>52</v>
      </c>
      <c r="B837" t="s">
        <v>26</v>
      </c>
      <c r="C837" t="s">
        <v>26</v>
      </c>
      <c r="D837" t="s">
        <v>49</v>
      </c>
      <c r="E837">
        <v>35</v>
      </c>
      <c r="F837">
        <v>40</v>
      </c>
      <c r="G837" t="s">
        <v>65</v>
      </c>
      <c r="H837" t="s">
        <v>42</v>
      </c>
      <c r="I837" s="24">
        <v>46084</v>
      </c>
      <c r="J837" t="s">
        <v>117</v>
      </c>
      <c r="K837" t="s">
        <v>117</v>
      </c>
      <c r="L837" t="s">
        <v>117</v>
      </c>
      <c r="M837">
        <v>8</v>
      </c>
      <c r="N837">
        <v>280</v>
      </c>
      <c r="O837">
        <v>5.7142857142857144</v>
      </c>
      <c r="P837">
        <v>0</v>
      </c>
    </row>
    <row r="838" spans="1:16" x14ac:dyDescent="0.45">
      <c r="A838" t="s">
        <v>53</v>
      </c>
      <c r="B838" t="s">
        <v>26</v>
      </c>
      <c r="C838" t="s">
        <v>26</v>
      </c>
      <c r="D838" t="s">
        <v>49</v>
      </c>
      <c r="E838">
        <v>35</v>
      </c>
      <c r="F838">
        <v>40</v>
      </c>
      <c r="G838" t="s">
        <v>65</v>
      </c>
      <c r="H838" t="s">
        <v>44</v>
      </c>
      <c r="I838" s="24">
        <v>46084</v>
      </c>
      <c r="J838" t="s">
        <v>117</v>
      </c>
      <c r="K838" t="s">
        <v>117</v>
      </c>
      <c r="L838" t="s">
        <v>117</v>
      </c>
      <c r="M838">
        <v>8</v>
      </c>
      <c r="N838">
        <v>280</v>
      </c>
      <c r="O838">
        <v>5.7142857142857144</v>
      </c>
      <c r="P838">
        <v>0</v>
      </c>
    </row>
    <row r="839" spans="1:16" x14ac:dyDescent="0.45">
      <c r="A839" t="s">
        <v>54</v>
      </c>
      <c r="B839" t="s">
        <v>25</v>
      </c>
      <c r="C839" t="s">
        <v>26</v>
      </c>
      <c r="D839" t="s">
        <v>49</v>
      </c>
      <c r="E839">
        <v>28</v>
      </c>
      <c r="F839">
        <v>40</v>
      </c>
      <c r="G839" t="s">
        <v>65</v>
      </c>
      <c r="H839" t="s">
        <v>41</v>
      </c>
      <c r="I839" s="24">
        <v>46084</v>
      </c>
      <c r="J839" t="s">
        <v>117</v>
      </c>
      <c r="K839" t="s">
        <v>117</v>
      </c>
      <c r="L839" t="s">
        <v>117</v>
      </c>
      <c r="M839">
        <v>0</v>
      </c>
      <c r="N839">
        <v>0</v>
      </c>
      <c r="O839">
        <v>5.7142857142857144</v>
      </c>
      <c r="P839">
        <v>0</v>
      </c>
    </row>
    <row r="840" spans="1:16" x14ac:dyDescent="0.45">
      <c r="A840" t="s">
        <v>55</v>
      </c>
      <c r="B840" t="s">
        <v>25</v>
      </c>
      <c r="C840" t="s">
        <v>26</v>
      </c>
      <c r="D840" t="s">
        <v>49</v>
      </c>
      <c r="E840">
        <v>28</v>
      </c>
      <c r="F840">
        <v>40</v>
      </c>
      <c r="G840" t="s">
        <v>65</v>
      </c>
      <c r="H840" t="s">
        <v>44</v>
      </c>
      <c r="I840" s="24">
        <v>46084</v>
      </c>
      <c r="J840" t="s">
        <v>117</v>
      </c>
      <c r="K840" t="s">
        <v>117</v>
      </c>
      <c r="L840" t="s">
        <v>117</v>
      </c>
      <c r="M840">
        <v>8</v>
      </c>
      <c r="N840">
        <v>224</v>
      </c>
      <c r="O840">
        <v>5.7142857142857144</v>
      </c>
      <c r="P840">
        <v>0</v>
      </c>
    </row>
    <row r="841" spans="1:16" x14ac:dyDescent="0.45">
      <c r="A841" t="s">
        <v>56</v>
      </c>
      <c r="B841" t="s">
        <v>29</v>
      </c>
      <c r="C841" t="s">
        <v>29</v>
      </c>
      <c r="D841" t="s">
        <v>49</v>
      </c>
      <c r="E841">
        <v>20</v>
      </c>
      <c r="F841">
        <v>40</v>
      </c>
      <c r="G841" t="s">
        <v>65</v>
      </c>
      <c r="H841" t="s">
        <v>45</v>
      </c>
      <c r="I841" s="24">
        <v>46084</v>
      </c>
      <c r="J841" t="s">
        <v>117</v>
      </c>
      <c r="K841" t="s">
        <v>117</v>
      </c>
      <c r="L841" t="s">
        <v>117</v>
      </c>
      <c r="M841">
        <v>8</v>
      </c>
      <c r="N841">
        <v>160</v>
      </c>
      <c r="O841">
        <v>5.7142857142857144</v>
      </c>
      <c r="P841">
        <v>0</v>
      </c>
    </row>
    <row r="842" spans="1:16" x14ac:dyDescent="0.45">
      <c r="A842" t="s">
        <v>57</v>
      </c>
      <c r="B842" t="s">
        <v>29</v>
      </c>
      <c r="C842" t="s">
        <v>29</v>
      </c>
      <c r="D842" t="s">
        <v>49</v>
      </c>
      <c r="E842">
        <v>20</v>
      </c>
      <c r="F842">
        <v>40</v>
      </c>
      <c r="G842" t="s">
        <v>65</v>
      </c>
      <c r="H842" t="s">
        <v>44</v>
      </c>
      <c r="I842" s="24">
        <v>46084</v>
      </c>
      <c r="J842" t="s">
        <v>117</v>
      </c>
      <c r="K842" t="s">
        <v>117</v>
      </c>
      <c r="L842" t="s">
        <v>117</v>
      </c>
      <c r="M842">
        <v>8</v>
      </c>
      <c r="N842">
        <v>160</v>
      </c>
      <c r="O842">
        <v>5.7142857142857144</v>
      </c>
      <c r="P842">
        <v>0</v>
      </c>
    </row>
    <row r="843" spans="1:16" x14ac:dyDescent="0.45">
      <c r="A843" t="s">
        <v>58</v>
      </c>
      <c r="B843" t="s">
        <v>29</v>
      </c>
      <c r="C843" t="s">
        <v>29</v>
      </c>
      <c r="D843" t="s">
        <v>49</v>
      </c>
      <c r="E843">
        <v>20</v>
      </c>
      <c r="F843">
        <v>40</v>
      </c>
      <c r="G843" t="s">
        <v>65</v>
      </c>
      <c r="H843" t="s">
        <v>41</v>
      </c>
      <c r="I843" s="24">
        <v>46084</v>
      </c>
      <c r="J843" t="s">
        <v>117</v>
      </c>
      <c r="K843" t="s">
        <v>117</v>
      </c>
      <c r="L843" t="s">
        <v>117</v>
      </c>
      <c r="M843">
        <v>0</v>
      </c>
      <c r="N843">
        <v>0</v>
      </c>
      <c r="O843">
        <v>5.7142857142857144</v>
      </c>
      <c r="P843">
        <v>0</v>
      </c>
    </row>
    <row r="844" spans="1:16" x14ac:dyDescent="0.45">
      <c r="A844" t="s">
        <v>59</v>
      </c>
      <c r="B844" t="s">
        <v>29</v>
      </c>
      <c r="C844" t="s">
        <v>29</v>
      </c>
      <c r="D844" t="s">
        <v>60</v>
      </c>
      <c r="E844">
        <v>15</v>
      </c>
      <c r="F844">
        <v>20</v>
      </c>
      <c r="G844" t="s">
        <v>65</v>
      </c>
      <c r="H844" t="s">
        <v>46</v>
      </c>
      <c r="I844" s="24">
        <v>46084</v>
      </c>
      <c r="J844" t="s">
        <v>117</v>
      </c>
      <c r="K844" t="s">
        <v>117</v>
      </c>
      <c r="L844" t="s">
        <v>117</v>
      </c>
      <c r="M844">
        <v>5</v>
      </c>
      <c r="N844">
        <v>75</v>
      </c>
      <c r="O844">
        <v>2.8571428571428572</v>
      </c>
      <c r="P844">
        <v>0</v>
      </c>
    </row>
    <row r="845" spans="1:16" x14ac:dyDescent="0.45">
      <c r="A845" t="s">
        <v>61</v>
      </c>
      <c r="B845" t="s">
        <v>29</v>
      </c>
      <c r="C845" t="s">
        <v>29</v>
      </c>
      <c r="D845" t="s">
        <v>60</v>
      </c>
      <c r="E845">
        <v>15</v>
      </c>
      <c r="F845">
        <v>20</v>
      </c>
      <c r="G845" t="s">
        <v>65</v>
      </c>
      <c r="H845" t="s">
        <v>40</v>
      </c>
      <c r="I845" s="24">
        <v>46084</v>
      </c>
      <c r="J845" t="s">
        <v>117</v>
      </c>
      <c r="K845" t="s">
        <v>117</v>
      </c>
      <c r="L845" t="s">
        <v>117</v>
      </c>
      <c r="M845">
        <v>5</v>
      </c>
      <c r="N845">
        <v>75</v>
      </c>
      <c r="O845">
        <v>2.8571428571428572</v>
      </c>
      <c r="P845">
        <v>0</v>
      </c>
    </row>
    <row r="846" spans="1:16" x14ac:dyDescent="0.45">
      <c r="A846" t="s">
        <v>62</v>
      </c>
      <c r="B846" t="s">
        <v>29</v>
      </c>
      <c r="C846" t="s">
        <v>29</v>
      </c>
      <c r="D846" t="s">
        <v>60</v>
      </c>
      <c r="E846">
        <v>15</v>
      </c>
      <c r="F846">
        <v>20</v>
      </c>
      <c r="G846" t="s">
        <v>65</v>
      </c>
      <c r="H846" t="s">
        <v>40</v>
      </c>
      <c r="I846" s="24">
        <v>46084</v>
      </c>
      <c r="J846" t="s">
        <v>117</v>
      </c>
      <c r="K846" t="s">
        <v>117</v>
      </c>
      <c r="L846" t="s">
        <v>117</v>
      </c>
      <c r="M846">
        <v>5</v>
      </c>
      <c r="N846">
        <v>75</v>
      </c>
      <c r="O846">
        <v>2.8571428571428572</v>
      </c>
      <c r="P846">
        <v>0</v>
      </c>
    </row>
    <row r="847" spans="1:16" x14ac:dyDescent="0.45">
      <c r="A847" t="s">
        <v>48</v>
      </c>
      <c r="B847" t="s">
        <v>30</v>
      </c>
      <c r="C847" t="s">
        <v>28</v>
      </c>
      <c r="D847" t="s">
        <v>49</v>
      </c>
      <c r="E847">
        <v>30</v>
      </c>
      <c r="F847">
        <v>40</v>
      </c>
      <c r="G847" t="s">
        <v>66</v>
      </c>
      <c r="H847" t="s">
        <v>40</v>
      </c>
      <c r="I847" s="24">
        <v>46085</v>
      </c>
      <c r="J847" t="s">
        <v>117</v>
      </c>
      <c r="K847" t="s">
        <v>117</v>
      </c>
      <c r="L847" t="s">
        <v>117</v>
      </c>
      <c r="M847">
        <v>5</v>
      </c>
      <c r="N847">
        <v>150</v>
      </c>
      <c r="O847">
        <v>5.7142857142857144</v>
      </c>
      <c r="P847">
        <v>0</v>
      </c>
    </row>
    <row r="848" spans="1:16" x14ac:dyDescent="0.45">
      <c r="A848" t="s">
        <v>50</v>
      </c>
      <c r="B848" t="s">
        <v>27</v>
      </c>
      <c r="C848" t="s">
        <v>28</v>
      </c>
      <c r="D848" t="s">
        <v>49</v>
      </c>
      <c r="E848">
        <v>25</v>
      </c>
      <c r="F848">
        <v>40</v>
      </c>
      <c r="G848" t="s">
        <v>66</v>
      </c>
      <c r="H848" t="s">
        <v>41</v>
      </c>
      <c r="I848" s="24">
        <v>46085</v>
      </c>
      <c r="J848" t="s">
        <v>117</v>
      </c>
      <c r="K848" t="s">
        <v>117</v>
      </c>
      <c r="L848" t="s">
        <v>117</v>
      </c>
      <c r="M848">
        <v>0</v>
      </c>
      <c r="N848">
        <v>0</v>
      </c>
      <c r="O848">
        <v>5.7142857142857144</v>
      </c>
      <c r="P848">
        <v>0</v>
      </c>
    </row>
    <row r="849" spans="1:16" x14ac:dyDescent="0.45">
      <c r="A849" t="s">
        <v>51</v>
      </c>
      <c r="B849" t="s">
        <v>27</v>
      </c>
      <c r="C849" t="s">
        <v>28</v>
      </c>
      <c r="D849" t="s">
        <v>49</v>
      </c>
      <c r="E849">
        <v>25</v>
      </c>
      <c r="F849">
        <v>40</v>
      </c>
      <c r="G849" t="s">
        <v>66</v>
      </c>
      <c r="H849" t="s">
        <v>35</v>
      </c>
      <c r="I849" s="24">
        <v>46085</v>
      </c>
      <c r="J849" t="s">
        <v>117</v>
      </c>
      <c r="K849" t="s">
        <v>117</v>
      </c>
      <c r="L849" t="s">
        <v>117</v>
      </c>
      <c r="M849">
        <v>7</v>
      </c>
      <c r="N849">
        <v>175</v>
      </c>
      <c r="O849">
        <v>5.7142857142857144</v>
      </c>
      <c r="P849">
        <v>0</v>
      </c>
    </row>
    <row r="850" spans="1:16" x14ac:dyDescent="0.45">
      <c r="A850" t="s">
        <v>52</v>
      </c>
      <c r="B850" t="s">
        <v>26</v>
      </c>
      <c r="C850" t="s">
        <v>26</v>
      </c>
      <c r="D850" t="s">
        <v>49</v>
      </c>
      <c r="E850">
        <v>35</v>
      </c>
      <c r="F850">
        <v>40</v>
      </c>
      <c r="G850" t="s">
        <v>66</v>
      </c>
      <c r="H850" t="s">
        <v>41</v>
      </c>
      <c r="I850" s="24">
        <v>46085</v>
      </c>
      <c r="J850" t="s">
        <v>117</v>
      </c>
      <c r="K850" t="s">
        <v>117</v>
      </c>
      <c r="L850" t="s">
        <v>117</v>
      </c>
      <c r="M850">
        <v>0</v>
      </c>
      <c r="N850">
        <v>0</v>
      </c>
      <c r="O850">
        <v>5.7142857142857144</v>
      </c>
      <c r="P850">
        <v>0</v>
      </c>
    </row>
    <row r="851" spans="1:16" x14ac:dyDescent="0.45">
      <c r="A851" t="s">
        <v>53</v>
      </c>
      <c r="B851" t="s">
        <v>26</v>
      </c>
      <c r="C851" t="s">
        <v>26</v>
      </c>
      <c r="D851" t="s">
        <v>49</v>
      </c>
      <c r="E851">
        <v>35</v>
      </c>
      <c r="F851">
        <v>40</v>
      </c>
      <c r="G851" t="s">
        <v>66</v>
      </c>
      <c r="H851" t="s">
        <v>44</v>
      </c>
      <c r="I851" s="24">
        <v>46085</v>
      </c>
      <c r="J851" t="s">
        <v>117</v>
      </c>
      <c r="K851" t="s">
        <v>117</v>
      </c>
      <c r="L851" t="s">
        <v>117</v>
      </c>
      <c r="M851">
        <v>8</v>
      </c>
      <c r="N851">
        <v>280</v>
      </c>
      <c r="O851">
        <v>5.7142857142857144</v>
      </c>
      <c r="P851">
        <v>0</v>
      </c>
    </row>
    <row r="852" spans="1:16" x14ac:dyDescent="0.45">
      <c r="A852" t="s">
        <v>54</v>
      </c>
      <c r="B852" t="s">
        <v>25</v>
      </c>
      <c r="C852" t="s">
        <v>26</v>
      </c>
      <c r="D852" t="s">
        <v>49</v>
      </c>
      <c r="E852">
        <v>28</v>
      </c>
      <c r="F852">
        <v>40</v>
      </c>
      <c r="G852" t="s">
        <v>66</v>
      </c>
      <c r="H852" t="s">
        <v>42</v>
      </c>
      <c r="I852" s="24">
        <v>46085</v>
      </c>
      <c r="J852" t="s">
        <v>117</v>
      </c>
      <c r="K852" t="s">
        <v>117</v>
      </c>
      <c r="L852" t="s">
        <v>117</v>
      </c>
      <c r="M852">
        <v>8</v>
      </c>
      <c r="N852">
        <v>224</v>
      </c>
      <c r="O852">
        <v>5.7142857142857144</v>
      </c>
      <c r="P852">
        <v>0</v>
      </c>
    </row>
    <row r="853" spans="1:16" x14ac:dyDescent="0.45">
      <c r="A853" t="s">
        <v>55</v>
      </c>
      <c r="B853" t="s">
        <v>25</v>
      </c>
      <c r="C853" t="s">
        <v>26</v>
      </c>
      <c r="D853" t="s">
        <v>49</v>
      </c>
      <c r="E853">
        <v>28</v>
      </c>
      <c r="F853">
        <v>40</v>
      </c>
      <c r="G853" t="s">
        <v>66</v>
      </c>
      <c r="H853" t="s">
        <v>44</v>
      </c>
      <c r="I853" s="24">
        <v>46085</v>
      </c>
      <c r="J853" t="s">
        <v>117</v>
      </c>
      <c r="K853" t="s">
        <v>117</v>
      </c>
      <c r="L853" t="s">
        <v>117</v>
      </c>
      <c r="M853">
        <v>8</v>
      </c>
      <c r="N853">
        <v>224</v>
      </c>
      <c r="O853">
        <v>5.7142857142857144</v>
      </c>
      <c r="P853">
        <v>0</v>
      </c>
    </row>
    <row r="854" spans="1:16" x14ac:dyDescent="0.45">
      <c r="A854" t="s">
        <v>56</v>
      </c>
      <c r="B854" t="s">
        <v>29</v>
      </c>
      <c r="C854" t="s">
        <v>29</v>
      </c>
      <c r="D854" t="s">
        <v>49</v>
      </c>
      <c r="E854">
        <v>20</v>
      </c>
      <c r="F854">
        <v>40</v>
      </c>
      <c r="G854" t="s">
        <v>66</v>
      </c>
      <c r="H854" t="s">
        <v>45</v>
      </c>
      <c r="I854" s="24">
        <v>46085</v>
      </c>
      <c r="J854" t="s">
        <v>117</v>
      </c>
      <c r="K854" t="s">
        <v>117</v>
      </c>
      <c r="L854" t="s">
        <v>117</v>
      </c>
      <c r="M854">
        <v>8</v>
      </c>
      <c r="N854">
        <v>160</v>
      </c>
      <c r="O854">
        <v>5.7142857142857144</v>
      </c>
      <c r="P854">
        <v>0</v>
      </c>
    </row>
    <row r="855" spans="1:16" x14ac:dyDescent="0.45">
      <c r="A855" t="s">
        <v>57</v>
      </c>
      <c r="B855" t="s">
        <v>29</v>
      </c>
      <c r="C855" t="s">
        <v>29</v>
      </c>
      <c r="D855" t="s">
        <v>49</v>
      </c>
      <c r="E855">
        <v>20</v>
      </c>
      <c r="F855">
        <v>40</v>
      </c>
      <c r="G855" t="s">
        <v>66</v>
      </c>
      <c r="H855" t="s">
        <v>44</v>
      </c>
      <c r="I855" s="24">
        <v>46085</v>
      </c>
      <c r="J855" t="s">
        <v>117</v>
      </c>
      <c r="K855" t="s">
        <v>117</v>
      </c>
      <c r="L855" t="s">
        <v>117</v>
      </c>
      <c r="M855">
        <v>8</v>
      </c>
      <c r="N855">
        <v>160</v>
      </c>
      <c r="O855">
        <v>5.7142857142857144</v>
      </c>
      <c r="P855">
        <v>0</v>
      </c>
    </row>
    <row r="856" spans="1:16" x14ac:dyDescent="0.45">
      <c r="A856" t="s">
        <v>58</v>
      </c>
      <c r="B856" t="s">
        <v>29</v>
      </c>
      <c r="C856" t="s">
        <v>29</v>
      </c>
      <c r="D856" t="s">
        <v>49</v>
      </c>
      <c r="E856">
        <v>20</v>
      </c>
      <c r="F856">
        <v>40</v>
      </c>
      <c r="G856" t="s">
        <v>66</v>
      </c>
      <c r="H856" t="s">
        <v>41</v>
      </c>
      <c r="I856" s="24">
        <v>46085</v>
      </c>
      <c r="J856" t="s">
        <v>117</v>
      </c>
      <c r="K856" t="s">
        <v>117</v>
      </c>
      <c r="L856" t="s">
        <v>117</v>
      </c>
      <c r="M856">
        <v>0</v>
      </c>
      <c r="N856">
        <v>0</v>
      </c>
      <c r="O856">
        <v>5.7142857142857144</v>
      </c>
      <c r="P856">
        <v>0</v>
      </c>
    </row>
    <row r="857" spans="1:16" x14ac:dyDescent="0.45">
      <c r="A857" t="s">
        <v>59</v>
      </c>
      <c r="B857" t="s">
        <v>29</v>
      </c>
      <c r="C857" t="s">
        <v>29</v>
      </c>
      <c r="D857" t="s">
        <v>60</v>
      </c>
      <c r="E857">
        <v>15</v>
      </c>
      <c r="F857">
        <v>20</v>
      </c>
      <c r="G857" t="s">
        <v>66</v>
      </c>
      <c r="H857" t="s">
        <v>46</v>
      </c>
      <c r="I857" s="24">
        <v>46085</v>
      </c>
      <c r="J857" t="s">
        <v>117</v>
      </c>
      <c r="K857" t="s">
        <v>117</v>
      </c>
      <c r="L857" t="s">
        <v>117</v>
      </c>
      <c r="M857">
        <v>5</v>
      </c>
      <c r="N857">
        <v>75</v>
      </c>
      <c r="O857">
        <v>2.8571428571428572</v>
      </c>
      <c r="P857">
        <v>0</v>
      </c>
    </row>
    <row r="858" spans="1:16" x14ac:dyDescent="0.45">
      <c r="A858" t="s">
        <v>61</v>
      </c>
      <c r="B858" t="s">
        <v>29</v>
      </c>
      <c r="C858" t="s">
        <v>29</v>
      </c>
      <c r="D858" t="s">
        <v>60</v>
      </c>
      <c r="E858">
        <v>15</v>
      </c>
      <c r="F858">
        <v>20</v>
      </c>
      <c r="G858" t="s">
        <v>66</v>
      </c>
      <c r="H858" t="s">
        <v>41</v>
      </c>
      <c r="I858" s="24">
        <v>46085</v>
      </c>
      <c r="J858" t="s">
        <v>117</v>
      </c>
      <c r="K858" t="s">
        <v>117</v>
      </c>
      <c r="L858" t="s">
        <v>117</v>
      </c>
      <c r="M858">
        <v>0</v>
      </c>
      <c r="N858">
        <v>0</v>
      </c>
      <c r="O858">
        <v>2.8571428571428572</v>
      </c>
      <c r="P858">
        <v>0</v>
      </c>
    </row>
    <row r="859" spans="1:16" x14ac:dyDescent="0.45">
      <c r="A859" t="s">
        <v>62</v>
      </c>
      <c r="B859" t="s">
        <v>29</v>
      </c>
      <c r="C859" t="s">
        <v>29</v>
      </c>
      <c r="D859" t="s">
        <v>60</v>
      </c>
      <c r="E859">
        <v>15</v>
      </c>
      <c r="F859">
        <v>20</v>
      </c>
      <c r="G859" t="s">
        <v>66</v>
      </c>
      <c r="H859" t="s">
        <v>41</v>
      </c>
      <c r="I859" s="24">
        <v>46085</v>
      </c>
      <c r="J859" t="s">
        <v>117</v>
      </c>
      <c r="K859" t="s">
        <v>117</v>
      </c>
      <c r="L859" t="s">
        <v>117</v>
      </c>
      <c r="M859">
        <v>0</v>
      </c>
      <c r="N859">
        <v>0</v>
      </c>
      <c r="O859">
        <v>2.8571428571428572</v>
      </c>
      <c r="P859">
        <v>0</v>
      </c>
    </row>
    <row r="860" spans="1:16" x14ac:dyDescent="0.45">
      <c r="A860" t="s">
        <v>48</v>
      </c>
      <c r="B860" t="s">
        <v>30</v>
      </c>
      <c r="C860" t="s">
        <v>28</v>
      </c>
      <c r="D860" t="s">
        <v>49</v>
      </c>
      <c r="E860">
        <v>30</v>
      </c>
      <c r="F860">
        <v>40</v>
      </c>
      <c r="G860" t="s">
        <v>67</v>
      </c>
      <c r="H860" t="s">
        <v>41</v>
      </c>
      <c r="I860" s="24">
        <v>46086</v>
      </c>
      <c r="J860" t="s">
        <v>117</v>
      </c>
      <c r="K860" t="s">
        <v>117</v>
      </c>
      <c r="L860" t="s">
        <v>117</v>
      </c>
      <c r="M860">
        <v>0</v>
      </c>
      <c r="N860">
        <v>0</v>
      </c>
      <c r="O860">
        <v>5.7142857142857144</v>
      </c>
      <c r="P860">
        <v>0</v>
      </c>
    </row>
    <row r="861" spans="1:16" x14ac:dyDescent="0.45">
      <c r="A861" t="s">
        <v>50</v>
      </c>
      <c r="B861" t="s">
        <v>27</v>
      </c>
      <c r="C861" t="s">
        <v>28</v>
      </c>
      <c r="D861" t="s">
        <v>49</v>
      </c>
      <c r="E861">
        <v>25</v>
      </c>
      <c r="F861">
        <v>40</v>
      </c>
      <c r="G861" t="s">
        <v>67</v>
      </c>
      <c r="H861" t="s">
        <v>37</v>
      </c>
      <c r="I861" s="24">
        <v>46086</v>
      </c>
      <c r="J861" t="s">
        <v>117</v>
      </c>
      <c r="K861" t="s">
        <v>117</v>
      </c>
      <c r="L861" t="s">
        <v>117</v>
      </c>
      <c r="M861">
        <v>7</v>
      </c>
      <c r="N861">
        <v>175</v>
      </c>
      <c r="O861">
        <v>5.7142857142857144</v>
      </c>
      <c r="P861">
        <v>0</v>
      </c>
    </row>
    <row r="862" spans="1:16" x14ac:dyDescent="0.45">
      <c r="A862" t="s">
        <v>51</v>
      </c>
      <c r="B862" t="s">
        <v>27</v>
      </c>
      <c r="C862" t="s">
        <v>28</v>
      </c>
      <c r="D862" t="s">
        <v>49</v>
      </c>
      <c r="E862">
        <v>25</v>
      </c>
      <c r="F862">
        <v>40</v>
      </c>
      <c r="G862" t="s">
        <v>67</v>
      </c>
      <c r="H862" t="s">
        <v>35</v>
      </c>
      <c r="I862" s="24">
        <v>46086</v>
      </c>
      <c r="J862" t="s">
        <v>117</v>
      </c>
      <c r="K862" t="s">
        <v>117</v>
      </c>
      <c r="L862" t="s">
        <v>117</v>
      </c>
      <c r="M862">
        <v>7</v>
      </c>
      <c r="N862">
        <v>175</v>
      </c>
      <c r="O862">
        <v>5.7142857142857144</v>
      </c>
      <c r="P862">
        <v>0</v>
      </c>
    </row>
    <row r="863" spans="1:16" x14ac:dyDescent="0.45">
      <c r="A863" t="s">
        <v>52</v>
      </c>
      <c r="B863" t="s">
        <v>26</v>
      </c>
      <c r="C863" t="s">
        <v>26</v>
      </c>
      <c r="D863" t="s">
        <v>49</v>
      </c>
      <c r="E863">
        <v>35</v>
      </c>
      <c r="F863">
        <v>40</v>
      </c>
      <c r="G863" t="s">
        <v>67</v>
      </c>
      <c r="H863" t="s">
        <v>42</v>
      </c>
      <c r="I863" s="24">
        <v>46086</v>
      </c>
      <c r="J863" t="s">
        <v>117</v>
      </c>
      <c r="K863" t="s">
        <v>117</v>
      </c>
      <c r="L863" t="s">
        <v>117</v>
      </c>
      <c r="M863">
        <v>8</v>
      </c>
      <c r="N863">
        <v>280</v>
      </c>
      <c r="O863">
        <v>5.7142857142857144</v>
      </c>
      <c r="P863">
        <v>0</v>
      </c>
    </row>
    <row r="864" spans="1:16" x14ac:dyDescent="0.45">
      <c r="A864" t="s">
        <v>53</v>
      </c>
      <c r="B864" t="s">
        <v>26</v>
      </c>
      <c r="C864" t="s">
        <v>26</v>
      </c>
      <c r="D864" t="s">
        <v>49</v>
      </c>
      <c r="E864">
        <v>35</v>
      </c>
      <c r="F864">
        <v>40</v>
      </c>
      <c r="G864" t="s">
        <v>67</v>
      </c>
      <c r="H864" t="s">
        <v>41</v>
      </c>
      <c r="I864" s="24">
        <v>46086</v>
      </c>
      <c r="J864" t="s">
        <v>117</v>
      </c>
      <c r="K864" t="s">
        <v>117</v>
      </c>
      <c r="L864" t="s">
        <v>117</v>
      </c>
      <c r="M864">
        <v>0</v>
      </c>
      <c r="N864">
        <v>0</v>
      </c>
      <c r="O864">
        <v>5.7142857142857144</v>
      </c>
      <c r="P864">
        <v>0</v>
      </c>
    </row>
    <row r="865" spans="1:16" x14ac:dyDescent="0.45">
      <c r="A865" t="s">
        <v>54</v>
      </c>
      <c r="B865" t="s">
        <v>25</v>
      </c>
      <c r="C865" t="s">
        <v>26</v>
      </c>
      <c r="D865" t="s">
        <v>49</v>
      </c>
      <c r="E865">
        <v>28</v>
      </c>
      <c r="F865">
        <v>40</v>
      </c>
      <c r="G865" t="s">
        <v>67</v>
      </c>
      <c r="H865" t="s">
        <v>44</v>
      </c>
      <c r="I865" s="24">
        <v>46086</v>
      </c>
      <c r="J865" t="s">
        <v>117</v>
      </c>
      <c r="K865" t="s">
        <v>117</v>
      </c>
      <c r="L865" t="s">
        <v>117</v>
      </c>
      <c r="M865">
        <v>8</v>
      </c>
      <c r="N865">
        <v>224</v>
      </c>
      <c r="O865">
        <v>5.7142857142857144</v>
      </c>
      <c r="P865">
        <v>0</v>
      </c>
    </row>
    <row r="866" spans="1:16" x14ac:dyDescent="0.45">
      <c r="A866" t="s">
        <v>55</v>
      </c>
      <c r="B866" t="s">
        <v>25</v>
      </c>
      <c r="C866" t="s">
        <v>26</v>
      </c>
      <c r="D866" t="s">
        <v>49</v>
      </c>
      <c r="E866">
        <v>28</v>
      </c>
      <c r="F866">
        <v>40</v>
      </c>
      <c r="G866" t="s">
        <v>67</v>
      </c>
      <c r="H866" t="s">
        <v>44</v>
      </c>
      <c r="I866" s="24">
        <v>46086</v>
      </c>
      <c r="J866" t="s">
        <v>117</v>
      </c>
      <c r="K866" t="s">
        <v>117</v>
      </c>
      <c r="L866" t="s">
        <v>117</v>
      </c>
      <c r="M866">
        <v>8</v>
      </c>
      <c r="N866">
        <v>224</v>
      </c>
      <c r="O866">
        <v>5.7142857142857144</v>
      </c>
      <c r="P866">
        <v>0</v>
      </c>
    </row>
    <row r="867" spans="1:16" x14ac:dyDescent="0.45">
      <c r="A867" t="s">
        <v>56</v>
      </c>
      <c r="B867" t="s">
        <v>29</v>
      </c>
      <c r="C867" t="s">
        <v>29</v>
      </c>
      <c r="D867" t="s">
        <v>49</v>
      </c>
      <c r="E867">
        <v>20</v>
      </c>
      <c r="F867">
        <v>40</v>
      </c>
      <c r="G867" t="s">
        <v>67</v>
      </c>
      <c r="H867" t="s">
        <v>41</v>
      </c>
      <c r="I867" s="24">
        <v>46086</v>
      </c>
      <c r="J867" t="s">
        <v>117</v>
      </c>
      <c r="K867" t="s">
        <v>117</v>
      </c>
      <c r="L867" t="s">
        <v>117</v>
      </c>
      <c r="M867">
        <v>0</v>
      </c>
      <c r="N867">
        <v>0</v>
      </c>
      <c r="O867">
        <v>5.7142857142857144</v>
      </c>
      <c r="P867">
        <v>0</v>
      </c>
    </row>
    <row r="868" spans="1:16" x14ac:dyDescent="0.45">
      <c r="A868" t="s">
        <v>57</v>
      </c>
      <c r="B868" t="s">
        <v>29</v>
      </c>
      <c r="C868" t="s">
        <v>29</v>
      </c>
      <c r="D868" t="s">
        <v>49</v>
      </c>
      <c r="E868">
        <v>20</v>
      </c>
      <c r="F868">
        <v>40</v>
      </c>
      <c r="G868" t="s">
        <v>67</v>
      </c>
      <c r="H868" t="s">
        <v>44</v>
      </c>
      <c r="I868" s="24">
        <v>46086</v>
      </c>
      <c r="J868" t="s">
        <v>117</v>
      </c>
      <c r="K868" t="s">
        <v>117</v>
      </c>
      <c r="L868" t="s">
        <v>117</v>
      </c>
      <c r="M868">
        <v>8</v>
      </c>
      <c r="N868">
        <v>160</v>
      </c>
      <c r="O868">
        <v>5.7142857142857144</v>
      </c>
      <c r="P868">
        <v>0</v>
      </c>
    </row>
    <row r="869" spans="1:16" x14ac:dyDescent="0.45">
      <c r="A869" t="s">
        <v>58</v>
      </c>
      <c r="B869" t="s">
        <v>29</v>
      </c>
      <c r="C869" t="s">
        <v>29</v>
      </c>
      <c r="D869" t="s">
        <v>49</v>
      </c>
      <c r="E869">
        <v>20</v>
      </c>
      <c r="F869">
        <v>40</v>
      </c>
      <c r="G869" t="s">
        <v>67</v>
      </c>
      <c r="H869" t="s">
        <v>44</v>
      </c>
      <c r="I869" s="24">
        <v>46086</v>
      </c>
      <c r="J869" t="s">
        <v>117</v>
      </c>
      <c r="K869" t="s">
        <v>117</v>
      </c>
      <c r="L869" t="s">
        <v>117</v>
      </c>
      <c r="M869">
        <v>8</v>
      </c>
      <c r="N869">
        <v>160</v>
      </c>
      <c r="O869">
        <v>5.7142857142857144</v>
      </c>
      <c r="P869">
        <v>0</v>
      </c>
    </row>
    <row r="870" spans="1:16" x14ac:dyDescent="0.45">
      <c r="A870" t="s">
        <v>59</v>
      </c>
      <c r="B870" t="s">
        <v>29</v>
      </c>
      <c r="C870" t="s">
        <v>29</v>
      </c>
      <c r="D870" t="s">
        <v>60</v>
      </c>
      <c r="E870">
        <v>15</v>
      </c>
      <c r="F870">
        <v>20</v>
      </c>
      <c r="G870" t="s">
        <v>67</v>
      </c>
      <c r="H870" t="s">
        <v>46</v>
      </c>
      <c r="I870" s="24">
        <v>46086</v>
      </c>
      <c r="J870" t="s">
        <v>117</v>
      </c>
      <c r="K870" t="s">
        <v>117</v>
      </c>
      <c r="L870" t="s">
        <v>117</v>
      </c>
      <c r="M870">
        <v>5</v>
      </c>
      <c r="N870">
        <v>75</v>
      </c>
      <c r="O870">
        <v>2.8571428571428572</v>
      </c>
      <c r="P870">
        <v>0</v>
      </c>
    </row>
    <row r="871" spans="1:16" x14ac:dyDescent="0.45">
      <c r="A871" t="s">
        <v>61</v>
      </c>
      <c r="B871" t="s">
        <v>29</v>
      </c>
      <c r="C871" t="s">
        <v>29</v>
      </c>
      <c r="D871" t="s">
        <v>60</v>
      </c>
      <c r="E871">
        <v>15</v>
      </c>
      <c r="F871">
        <v>20</v>
      </c>
      <c r="G871" t="s">
        <v>67</v>
      </c>
      <c r="H871" t="s">
        <v>41</v>
      </c>
      <c r="I871" s="24">
        <v>46086</v>
      </c>
      <c r="J871" t="s">
        <v>117</v>
      </c>
      <c r="K871" t="s">
        <v>117</v>
      </c>
      <c r="L871" t="s">
        <v>117</v>
      </c>
      <c r="M871">
        <v>0</v>
      </c>
      <c r="N871">
        <v>0</v>
      </c>
      <c r="O871">
        <v>2.8571428571428572</v>
      </c>
      <c r="P871">
        <v>0</v>
      </c>
    </row>
    <row r="872" spans="1:16" x14ac:dyDescent="0.45">
      <c r="A872" t="s">
        <v>62</v>
      </c>
      <c r="B872" t="s">
        <v>29</v>
      </c>
      <c r="C872" t="s">
        <v>29</v>
      </c>
      <c r="D872" t="s">
        <v>60</v>
      </c>
      <c r="E872">
        <v>15</v>
      </c>
      <c r="F872">
        <v>20</v>
      </c>
      <c r="G872" t="s">
        <v>67</v>
      </c>
      <c r="H872" t="s">
        <v>41</v>
      </c>
      <c r="I872" s="24">
        <v>46086</v>
      </c>
      <c r="J872" t="s">
        <v>117</v>
      </c>
      <c r="K872" t="s">
        <v>117</v>
      </c>
      <c r="L872" t="s">
        <v>117</v>
      </c>
      <c r="M872">
        <v>0</v>
      </c>
      <c r="N872">
        <v>0</v>
      </c>
      <c r="O872">
        <v>2.8571428571428572</v>
      </c>
      <c r="P872">
        <v>0</v>
      </c>
    </row>
    <row r="873" spans="1:16" x14ac:dyDescent="0.45">
      <c r="A873" t="s">
        <v>48</v>
      </c>
      <c r="B873" t="s">
        <v>30</v>
      </c>
      <c r="C873" t="s">
        <v>28</v>
      </c>
      <c r="D873" t="s">
        <v>49</v>
      </c>
      <c r="E873">
        <v>30</v>
      </c>
      <c r="F873">
        <v>40</v>
      </c>
      <c r="G873" t="s">
        <v>68</v>
      </c>
      <c r="H873" t="s">
        <v>35</v>
      </c>
      <c r="I873" s="24">
        <v>46087</v>
      </c>
      <c r="J873" t="s">
        <v>118</v>
      </c>
      <c r="K873" t="s">
        <v>117</v>
      </c>
      <c r="L873" t="s">
        <v>118</v>
      </c>
      <c r="M873">
        <v>7</v>
      </c>
      <c r="N873">
        <v>315</v>
      </c>
      <c r="O873">
        <v>5.7142857142857144</v>
      </c>
      <c r="P873">
        <v>1</v>
      </c>
    </row>
    <row r="874" spans="1:16" x14ac:dyDescent="0.45">
      <c r="A874" t="s">
        <v>50</v>
      </c>
      <c r="B874" t="s">
        <v>27</v>
      </c>
      <c r="C874" t="s">
        <v>28</v>
      </c>
      <c r="D874" t="s">
        <v>49</v>
      </c>
      <c r="E874">
        <v>25</v>
      </c>
      <c r="F874">
        <v>40</v>
      </c>
      <c r="G874" t="s">
        <v>68</v>
      </c>
      <c r="H874" t="s">
        <v>37</v>
      </c>
      <c r="I874" s="24">
        <v>46087</v>
      </c>
      <c r="J874" t="s">
        <v>118</v>
      </c>
      <c r="K874" t="s">
        <v>117</v>
      </c>
      <c r="L874" t="s">
        <v>118</v>
      </c>
      <c r="M874">
        <v>7</v>
      </c>
      <c r="N874">
        <v>262.5</v>
      </c>
      <c r="O874">
        <v>5.7142857142857144</v>
      </c>
      <c r="P874">
        <v>1</v>
      </c>
    </row>
    <row r="875" spans="1:16" x14ac:dyDescent="0.45">
      <c r="A875" t="s">
        <v>51</v>
      </c>
      <c r="B875" t="s">
        <v>27</v>
      </c>
      <c r="C875" t="s">
        <v>28</v>
      </c>
      <c r="D875" t="s">
        <v>49</v>
      </c>
      <c r="E875">
        <v>25</v>
      </c>
      <c r="F875">
        <v>40</v>
      </c>
      <c r="G875" t="s">
        <v>68</v>
      </c>
      <c r="H875" t="s">
        <v>35</v>
      </c>
      <c r="I875" s="24">
        <v>46087</v>
      </c>
      <c r="J875" t="s">
        <v>118</v>
      </c>
      <c r="K875" t="s">
        <v>117</v>
      </c>
      <c r="L875" t="s">
        <v>118</v>
      </c>
      <c r="M875">
        <v>7</v>
      </c>
      <c r="N875">
        <v>262.5</v>
      </c>
      <c r="O875">
        <v>5.7142857142857144</v>
      </c>
      <c r="P875">
        <v>1</v>
      </c>
    </row>
    <row r="876" spans="1:16" x14ac:dyDescent="0.45">
      <c r="A876" t="s">
        <v>52</v>
      </c>
      <c r="B876" t="s">
        <v>26</v>
      </c>
      <c r="C876" t="s">
        <v>26</v>
      </c>
      <c r="D876" t="s">
        <v>49</v>
      </c>
      <c r="E876">
        <v>35</v>
      </c>
      <c r="F876">
        <v>40</v>
      </c>
      <c r="G876" t="s">
        <v>68</v>
      </c>
      <c r="H876" t="s">
        <v>42</v>
      </c>
      <c r="I876" s="24">
        <v>46087</v>
      </c>
      <c r="J876" t="s">
        <v>118</v>
      </c>
      <c r="K876" t="s">
        <v>117</v>
      </c>
      <c r="L876" t="s">
        <v>118</v>
      </c>
      <c r="M876">
        <v>8</v>
      </c>
      <c r="N876">
        <v>420</v>
      </c>
      <c r="O876">
        <v>5.7142857142857144</v>
      </c>
      <c r="P876">
        <v>1</v>
      </c>
    </row>
    <row r="877" spans="1:16" x14ac:dyDescent="0.45">
      <c r="A877" t="s">
        <v>53</v>
      </c>
      <c r="B877" t="s">
        <v>26</v>
      </c>
      <c r="C877" t="s">
        <v>26</v>
      </c>
      <c r="D877" t="s">
        <v>49</v>
      </c>
      <c r="E877">
        <v>35</v>
      </c>
      <c r="F877">
        <v>40</v>
      </c>
      <c r="G877" t="s">
        <v>68</v>
      </c>
      <c r="H877" t="s">
        <v>41</v>
      </c>
      <c r="I877" s="24">
        <v>46087</v>
      </c>
      <c r="J877" t="s">
        <v>118</v>
      </c>
      <c r="K877" t="s">
        <v>117</v>
      </c>
      <c r="L877" t="s">
        <v>118</v>
      </c>
      <c r="M877">
        <v>0</v>
      </c>
      <c r="N877">
        <v>0</v>
      </c>
      <c r="O877">
        <v>5.7142857142857144</v>
      </c>
      <c r="P877">
        <v>0</v>
      </c>
    </row>
    <row r="878" spans="1:16" x14ac:dyDescent="0.45">
      <c r="A878" t="s">
        <v>54</v>
      </c>
      <c r="B878" t="s">
        <v>25</v>
      </c>
      <c r="C878" t="s">
        <v>26</v>
      </c>
      <c r="D878" t="s">
        <v>49</v>
      </c>
      <c r="E878">
        <v>28</v>
      </c>
      <c r="F878">
        <v>40</v>
      </c>
      <c r="G878" t="s">
        <v>68</v>
      </c>
      <c r="H878" t="s">
        <v>44</v>
      </c>
      <c r="I878" s="24">
        <v>46087</v>
      </c>
      <c r="J878" t="s">
        <v>118</v>
      </c>
      <c r="K878" t="s">
        <v>117</v>
      </c>
      <c r="L878" t="s">
        <v>118</v>
      </c>
      <c r="M878">
        <v>8</v>
      </c>
      <c r="N878">
        <v>336</v>
      </c>
      <c r="O878">
        <v>5.7142857142857144</v>
      </c>
      <c r="P878">
        <v>1</v>
      </c>
    </row>
    <row r="879" spans="1:16" x14ac:dyDescent="0.45">
      <c r="A879" t="s">
        <v>55</v>
      </c>
      <c r="B879" t="s">
        <v>25</v>
      </c>
      <c r="C879" t="s">
        <v>26</v>
      </c>
      <c r="D879" t="s">
        <v>49</v>
      </c>
      <c r="E879">
        <v>28</v>
      </c>
      <c r="F879">
        <v>40</v>
      </c>
      <c r="G879" t="s">
        <v>68</v>
      </c>
      <c r="H879" t="s">
        <v>44</v>
      </c>
      <c r="I879" s="24">
        <v>46087</v>
      </c>
      <c r="J879" t="s">
        <v>118</v>
      </c>
      <c r="K879" t="s">
        <v>117</v>
      </c>
      <c r="L879" t="s">
        <v>118</v>
      </c>
      <c r="M879">
        <v>8</v>
      </c>
      <c r="N879">
        <v>336</v>
      </c>
      <c r="O879">
        <v>5.7142857142857144</v>
      </c>
      <c r="P879">
        <v>1</v>
      </c>
    </row>
    <row r="880" spans="1:16" x14ac:dyDescent="0.45">
      <c r="A880" t="s">
        <v>56</v>
      </c>
      <c r="B880" t="s">
        <v>29</v>
      </c>
      <c r="C880" t="s">
        <v>29</v>
      </c>
      <c r="D880" t="s">
        <v>49</v>
      </c>
      <c r="E880">
        <v>20</v>
      </c>
      <c r="F880">
        <v>40</v>
      </c>
      <c r="G880" t="s">
        <v>68</v>
      </c>
      <c r="H880" t="s">
        <v>44</v>
      </c>
      <c r="I880" s="24">
        <v>46087</v>
      </c>
      <c r="J880" t="s">
        <v>118</v>
      </c>
      <c r="K880" t="s">
        <v>117</v>
      </c>
      <c r="L880" t="s">
        <v>118</v>
      </c>
      <c r="M880">
        <v>8</v>
      </c>
      <c r="N880">
        <v>240</v>
      </c>
      <c r="O880">
        <v>5.7142857142857144</v>
      </c>
      <c r="P880">
        <v>1</v>
      </c>
    </row>
    <row r="881" spans="1:16" x14ac:dyDescent="0.45">
      <c r="A881" t="s">
        <v>57</v>
      </c>
      <c r="B881" t="s">
        <v>29</v>
      </c>
      <c r="C881" t="s">
        <v>29</v>
      </c>
      <c r="D881" t="s">
        <v>49</v>
      </c>
      <c r="E881">
        <v>20</v>
      </c>
      <c r="F881">
        <v>40</v>
      </c>
      <c r="G881" t="s">
        <v>68</v>
      </c>
      <c r="H881" t="s">
        <v>41</v>
      </c>
      <c r="I881" s="24">
        <v>46087</v>
      </c>
      <c r="J881" t="s">
        <v>118</v>
      </c>
      <c r="K881" t="s">
        <v>117</v>
      </c>
      <c r="L881" t="s">
        <v>118</v>
      </c>
      <c r="M881">
        <v>0</v>
      </c>
      <c r="N881">
        <v>0</v>
      </c>
      <c r="O881">
        <v>5.7142857142857144</v>
      </c>
      <c r="P881">
        <v>0</v>
      </c>
    </row>
    <row r="882" spans="1:16" x14ac:dyDescent="0.45">
      <c r="A882" t="s">
        <v>58</v>
      </c>
      <c r="B882" t="s">
        <v>29</v>
      </c>
      <c r="C882" t="s">
        <v>29</v>
      </c>
      <c r="D882" t="s">
        <v>49</v>
      </c>
      <c r="E882">
        <v>20</v>
      </c>
      <c r="F882">
        <v>40</v>
      </c>
      <c r="G882" t="s">
        <v>68</v>
      </c>
      <c r="H882" t="s">
        <v>46</v>
      </c>
      <c r="I882" s="24">
        <v>46087</v>
      </c>
      <c r="J882" t="s">
        <v>118</v>
      </c>
      <c r="K882" t="s">
        <v>117</v>
      </c>
      <c r="L882" t="s">
        <v>118</v>
      </c>
      <c r="M882">
        <v>5</v>
      </c>
      <c r="N882">
        <v>150</v>
      </c>
      <c r="O882">
        <v>5.7142857142857144</v>
      </c>
      <c r="P882">
        <v>1</v>
      </c>
    </row>
    <row r="883" spans="1:16" x14ac:dyDescent="0.45">
      <c r="A883" t="s">
        <v>59</v>
      </c>
      <c r="B883" t="s">
        <v>29</v>
      </c>
      <c r="C883" t="s">
        <v>29</v>
      </c>
      <c r="D883" t="s">
        <v>60</v>
      </c>
      <c r="E883">
        <v>15</v>
      </c>
      <c r="F883">
        <v>20</v>
      </c>
      <c r="G883" t="s">
        <v>68</v>
      </c>
      <c r="H883" t="s">
        <v>46</v>
      </c>
      <c r="I883" s="24">
        <v>46087</v>
      </c>
      <c r="J883" t="s">
        <v>118</v>
      </c>
      <c r="K883" t="s">
        <v>117</v>
      </c>
      <c r="L883" t="s">
        <v>118</v>
      </c>
      <c r="M883">
        <v>5</v>
      </c>
      <c r="N883">
        <v>112.5</v>
      </c>
      <c r="O883">
        <v>2.8571428571428572</v>
      </c>
      <c r="P883">
        <v>1</v>
      </c>
    </row>
    <row r="884" spans="1:16" x14ac:dyDescent="0.45">
      <c r="A884" t="s">
        <v>61</v>
      </c>
      <c r="B884" t="s">
        <v>29</v>
      </c>
      <c r="C884" t="s">
        <v>29</v>
      </c>
      <c r="D884" t="s">
        <v>60</v>
      </c>
      <c r="E884">
        <v>15</v>
      </c>
      <c r="F884">
        <v>20</v>
      </c>
      <c r="G884" t="s">
        <v>68</v>
      </c>
      <c r="H884" t="s">
        <v>46</v>
      </c>
      <c r="I884" s="24">
        <v>46087</v>
      </c>
      <c r="J884" t="s">
        <v>118</v>
      </c>
      <c r="K884" t="s">
        <v>117</v>
      </c>
      <c r="L884" t="s">
        <v>118</v>
      </c>
      <c r="M884">
        <v>5</v>
      </c>
      <c r="N884">
        <v>112.5</v>
      </c>
      <c r="O884">
        <v>2.8571428571428572</v>
      </c>
      <c r="P884">
        <v>1</v>
      </c>
    </row>
    <row r="885" spans="1:16" x14ac:dyDescent="0.45">
      <c r="A885" t="s">
        <v>62</v>
      </c>
      <c r="B885" t="s">
        <v>29</v>
      </c>
      <c r="C885" t="s">
        <v>29</v>
      </c>
      <c r="D885" t="s">
        <v>60</v>
      </c>
      <c r="E885">
        <v>15</v>
      </c>
      <c r="F885">
        <v>20</v>
      </c>
      <c r="G885" t="s">
        <v>68</v>
      </c>
      <c r="H885" t="s">
        <v>45</v>
      </c>
      <c r="I885" s="24">
        <v>46087</v>
      </c>
      <c r="J885" t="s">
        <v>118</v>
      </c>
      <c r="K885" t="s">
        <v>117</v>
      </c>
      <c r="L885" t="s">
        <v>118</v>
      </c>
      <c r="M885">
        <v>8</v>
      </c>
      <c r="N885">
        <v>180</v>
      </c>
      <c r="O885">
        <v>2.8571428571428572</v>
      </c>
      <c r="P885">
        <v>1</v>
      </c>
    </row>
    <row r="886" spans="1:16" x14ac:dyDescent="0.45">
      <c r="A886" t="s">
        <v>48</v>
      </c>
      <c r="B886" t="s">
        <v>30</v>
      </c>
      <c r="C886" t="s">
        <v>28</v>
      </c>
      <c r="D886" t="s">
        <v>49</v>
      </c>
      <c r="E886">
        <v>30</v>
      </c>
      <c r="F886">
        <v>40</v>
      </c>
      <c r="G886" t="s">
        <v>69</v>
      </c>
      <c r="H886" t="s">
        <v>37</v>
      </c>
      <c r="I886" s="24">
        <v>46088</v>
      </c>
      <c r="J886" t="s">
        <v>118</v>
      </c>
      <c r="K886" t="s">
        <v>117</v>
      </c>
      <c r="L886" t="s">
        <v>118</v>
      </c>
      <c r="M886">
        <v>7</v>
      </c>
      <c r="N886">
        <v>315</v>
      </c>
      <c r="O886">
        <v>5.7142857142857144</v>
      </c>
      <c r="P886">
        <v>1</v>
      </c>
    </row>
    <row r="887" spans="1:16" x14ac:dyDescent="0.45">
      <c r="A887" t="s">
        <v>50</v>
      </c>
      <c r="B887" t="s">
        <v>27</v>
      </c>
      <c r="C887" t="s">
        <v>28</v>
      </c>
      <c r="D887" t="s">
        <v>49</v>
      </c>
      <c r="E887">
        <v>25</v>
      </c>
      <c r="F887">
        <v>40</v>
      </c>
      <c r="G887" t="s">
        <v>69</v>
      </c>
      <c r="H887" t="s">
        <v>40</v>
      </c>
      <c r="I887" s="24">
        <v>46088</v>
      </c>
      <c r="J887" t="s">
        <v>118</v>
      </c>
      <c r="K887" t="s">
        <v>117</v>
      </c>
      <c r="L887" t="s">
        <v>118</v>
      </c>
      <c r="M887">
        <v>5</v>
      </c>
      <c r="N887">
        <v>187.5</v>
      </c>
      <c r="O887">
        <v>5.7142857142857144</v>
      </c>
      <c r="P887">
        <v>1</v>
      </c>
    </row>
    <row r="888" spans="1:16" x14ac:dyDescent="0.45">
      <c r="A888" t="s">
        <v>51</v>
      </c>
      <c r="B888" t="s">
        <v>27</v>
      </c>
      <c r="C888" t="s">
        <v>28</v>
      </c>
      <c r="D888" t="s">
        <v>49</v>
      </c>
      <c r="E888">
        <v>25</v>
      </c>
      <c r="F888">
        <v>40</v>
      </c>
      <c r="G888" t="s">
        <v>69</v>
      </c>
      <c r="H888" t="s">
        <v>35</v>
      </c>
      <c r="I888" s="24">
        <v>46088</v>
      </c>
      <c r="J888" t="s">
        <v>118</v>
      </c>
      <c r="K888" t="s">
        <v>117</v>
      </c>
      <c r="L888" t="s">
        <v>118</v>
      </c>
      <c r="M888">
        <v>7</v>
      </c>
      <c r="N888">
        <v>262.5</v>
      </c>
      <c r="O888">
        <v>5.7142857142857144</v>
      </c>
      <c r="P888">
        <v>1</v>
      </c>
    </row>
    <row r="889" spans="1:16" x14ac:dyDescent="0.45">
      <c r="A889" t="s">
        <v>52</v>
      </c>
      <c r="B889" t="s">
        <v>26</v>
      </c>
      <c r="C889" t="s">
        <v>26</v>
      </c>
      <c r="D889" t="s">
        <v>49</v>
      </c>
      <c r="E889">
        <v>35</v>
      </c>
      <c r="F889">
        <v>40</v>
      </c>
      <c r="G889" t="s">
        <v>69</v>
      </c>
      <c r="H889" t="s">
        <v>41</v>
      </c>
      <c r="I889" s="24">
        <v>46088</v>
      </c>
      <c r="J889" t="s">
        <v>118</v>
      </c>
      <c r="K889" t="s">
        <v>117</v>
      </c>
      <c r="L889" t="s">
        <v>118</v>
      </c>
      <c r="M889">
        <v>0</v>
      </c>
      <c r="N889">
        <v>0</v>
      </c>
      <c r="O889">
        <v>5.7142857142857144</v>
      </c>
      <c r="P889">
        <v>0</v>
      </c>
    </row>
    <row r="890" spans="1:16" x14ac:dyDescent="0.45">
      <c r="A890" t="s">
        <v>53</v>
      </c>
      <c r="B890" t="s">
        <v>26</v>
      </c>
      <c r="C890" t="s">
        <v>26</v>
      </c>
      <c r="D890" t="s">
        <v>49</v>
      </c>
      <c r="E890">
        <v>35</v>
      </c>
      <c r="F890">
        <v>40</v>
      </c>
      <c r="G890" t="s">
        <v>69</v>
      </c>
      <c r="H890" t="s">
        <v>42</v>
      </c>
      <c r="I890" s="24">
        <v>46088</v>
      </c>
      <c r="J890" t="s">
        <v>118</v>
      </c>
      <c r="K890" t="s">
        <v>117</v>
      </c>
      <c r="L890" t="s">
        <v>118</v>
      </c>
      <c r="M890">
        <v>8</v>
      </c>
      <c r="N890">
        <v>420</v>
      </c>
      <c r="O890">
        <v>5.7142857142857144</v>
      </c>
      <c r="P890">
        <v>1</v>
      </c>
    </row>
    <row r="891" spans="1:16" x14ac:dyDescent="0.45">
      <c r="A891" t="s">
        <v>54</v>
      </c>
      <c r="B891" t="s">
        <v>25</v>
      </c>
      <c r="C891" t="s">
        <v>26</v>
      </c>
      <c r="D891" t="s">
        <v>49</v>
      </c>
      <c r="E891">
        <v>28</v>
      </c>
      <c r="F891">
        <v>40</v>
      </c>
      <c r="G891" t="s">
        <v>69</v>
      </c>
      <c r="H891" t="s">
        <v>44</v>
      </c>
      <c r="I891" s="24">
        <v>46088</v>
      </c>
      <c r="J891" t="s">
        <v>118</v>
      </c>
      <c r="K891" t="s">
        <v>117</v>
      </c>
      <c r="L891" t="s">
        <v>118</v>
      </c>
      <c r="M891">
        <v>8</v>
      </c>
      <c r="N891">
        <v>336</v>
      </c>
      <c r="O891">
        <v>5.7142857142857144</v>
      </c>
      <c r="P891">
        <v>1</v>
      </c>
    </row>
    <row r="892" spans="1:16" x14ac:dyDescent="0.45">
      <c r="A892" t="s">
        <v>55</v>
      </c>
      <c r="B892" t="s">
        <v>25</v>
      </c>
      <c r="C892" t="s">
        <v>26</v>
      </c>
      <c r="D892" t="s">
        <v>49</v>
      </c>
      <c r="E892">
        <v>28</v>
      </c>
      <c r="F892">
        <v>40</v>
      </c>
      <c r="G892" t="s">
        <v>69</v>
      </c>
      <c r="H892" t="s">
        <v>41</v>
      </c>
      <c r="I892" s="24">
        <v>46088</v>
      </c>
      <c r="J892" t="s">
        <v>118</v>
      </c>
      <c r="K892" t="s">
        <v>117</v>
      </c>
      <c r="L892" t="s">
        <v>118</v>
      </c>
      <c r="M892">
        <v>0</v>
      </c>
      <c r="N892">
        <v>0</v>
      </c>
      <c r="O892">
        <v>5.7142857142857144</v>
      </c>
      <c r="P892">
        <v>0</v>
      </c>
    </row>
    <row r="893" spans="1:16" x14ac:dyDescent="0.45">
      <c r="A893" t="s">
        <v>56</v>
      </c>
      <c r="B893" t="s">
        <v>29</v>
      </c>
      <c r="C893" t="s">
        <v>29</v>
      </c>
      <c r="D893" t="s">
        <v>49</v>
      </c>
      <c r="E893">
        <v>20</v>
      </c>
      <c r="F893">
        <v>40</v>
      </c>
      <c r="G893" t="s">
        <v>69</v>
      </c>
      <c r="H893" t="s">
        <v>45</v>
      </c>
      <c r="I893" s="24">
        <v>46088</v>
      </c>
      <c r="J893" t="s">
        <v>118</v>
      </c>
      <c r="K893" t="s">
        <v>117</v>
      </c>
      <c r="L893" t="s">
        <v>118</v>
      </c>
      <c r="M893">
        <v>8</v>
      </c>
      <c r="N893">
        <v>240</v>
      </c>
      <c r="O893">
        <v>5.7142857142857144</v>
      </c>
      <c r="P893">
        <v>1</v>
      </c>
    </row>
    <row r="894" spans="1:16" x14ac:dyDescent="0.45">
      <c r="A894" t="s">
        <v>57</v>
      </c>
      <c r="B894" t="s">
        <v>29</v>
      </c>
      <c r="C894" t="s">
        <v>29</v>
      </c>
      <c r="D894" t="s">
        <v>49</v>
      </c>
      <c r="E894">
        <v>20</v>
      </c>
      <c r="F894">
        <v>40</v>
      </c>
      <c r="G894" t="s">
        <v>69</v>
      </c>
      <c r="H894" t="s">
        <v>41</v>
      </c>
      <c r="I894" s="24">
        <v>46088</v>
      </c>
      <c r="J894" t="s">
        <v>118</v>
      </c>
      <c r="K894" t="s">
        <v>117</v>
      </c>
      <c r="L894" t="s">
        <v>118</v>
      </c>
      <c r="M894">
        <v>0</v>
      </c>
      <c r="N894">
        <v>0</v>
      </c>
      <c r="O894">
        <v>5.7142857142857144</v>
      </c>
      <c r="P894">
        <v>0</v>
      </c>
    </row>
    <row r="895" spans="1:16" x14ac:dyDescent="0.45">
      <c r="A895" t="s">
        <v>58</v>
      </c>
      <c r="B895" t="s">
        <v>29</v>
      </c>
      <c r="C895" t="s">
        <v>29</v>
      </c>
      <c r="D895" t="s">
        <v>49</v>
      </c>
      <c r="E895">
        <v>20</v>
      </c>
      <c r="F895">
        <v>40</v>
      </c>
      <c r="G895" t="s">
        <v>69</v>
      </c>
      <c r="H895" t="s">
        <v>44</v>
      </c>
      <c r="I895" s="24">
        <v>46088</v>
      </c>
      <c r="J895" t="s">
        <v>118</v>
      </c>
      <c r="K895" t="s">
        <v>117</v>
      </c>
      <c r="L895" t="s">
        <v>118</v>
      </c>
      <c r="M895">
        <v>8</v>
      </c>
      <c r="N895">
        <v>240</v>
      </c>
      <c r="O895">
        <v>5.7142857142857144</v>
      </c>
      <c r="P895">
        <v>1</v>
      </c>
    </row>
    <row r="896" spans="1:16" x14ac:dyDescent="0.45">
      <c r="A896" t="s">
        <v>59</v>
      </c>
      <c r="B896" t="s">
        <v>29</v>
      </c>
      <c r="C896" t="s">
        <v>29</v>
      </c>
      <c r="D896" t="s">
        <v>60</v>
      </c>
      <c r="E896">
        <v>15</v>
      </c>
      <c r="F896">
        <v>20</v>
      </c>
      <c r="G896" t="s">
        <v>69</v>
      </c>
      <c r="H896" t="s">
        <v>41</v>
      </c>
      <c r="I896" s="24">
        <v>46088</v>
      </c>
      <c r="J896" t="s">
        <v>118</v>
      </c>
      <c r="K896" t="s">
        <v>117</v>
      </c>
      <c r="L896" t="s">
        <v>118</v>
      </c>
      <c r="M896">
        <v>0</v>
      </c>
      <c r="N896">
        <v>0</v>
      </c>
      <c r="O896">
        <v>2.8571428571428572</v>
      </c>
      <c r="P896">
        <v>0</v>
      </c>
    </row>
    <row r="897" spans="1:16" x14ac:dyDescent="0.45">
      <c r="A897" t="s">
        <v>61</v>
      </c>
      <c r="B897" t="s">
        <v>29</v>
      </c>
      <c r="C897" t="s">
        <v>29</v>
      </c>
      <c r="D897" t="s">
        <v>60</v>
      </c>
      <c r="E897">
        <v>15</v>
      </c>
      <c r="F897">
        <v>20</v>
      </c>
      <c r="G897" t="s">
        <v>69</v>
      </c>
      <c r="H897" t="s">
        <v>41</v>
      </c>
      <c r="I897" s="24">
        <v>46088</v>
      </c>
      <c r="J897" t="s">
        <v>118</v>
      </c>
      <c r="K897" t="s">
        <v>117</v>
      </c>
      <c r="L897" t="s">
        <v>118</v>
      </c>
      <c r="M897">
        <v>0</v>
      </c>
      <c r="N897">
        <v>0</v>
      </c>
      <c r="O897">
        <v>2.8571428571428572</v>
      </c>
      <c r="P897">
        <v>0</v>
      </c>
    </row>
    <row r="898" spans="1:16" x14ac:dyDescent="0.45">
      <c r="A898" t="s">
        <v>62</v>
      </c>
      <c r="B898" t="s">
        <v>29</v>
      </c>
      <c r="C898" t="s">
        <v>29</v>
      </c>
      <c r="D898" t="s">
        <v>60</v>
      </c>
      <c r="E898">
        <v>15</v>
      </c>
      <c r="F898">
        <v>20</v>
      </c>
      <c r="G898" t="s">
        <v>69</v>
      </c>
      <c r="H898" t="s">
        <v>40</v>
      </c>
      <c r="I898" s="24">
        <v>46088</v>
      </c>
      <c r="J898" t="s">
        <v>118</v>
      </c>
      <c r="K898" t="s">
        <v>117</v>
      </c>
      <c r="L898" t="s">
        <v>118</v>
      </c>
      <c r="M898">
        <v>5</v>
      </c>
      <c r="N898">
        <v>112.5</v>
      </c>
      <c r="O898">
        <v>2.8571428571428572</v>
      </c>
      <c r="P898">
        <v>1</v>
      </c>
    </row>
    <row r="899" spans="1:16" x14ac:dyDescent="0.45">
      <c r="A899" t="s">
        <v>48</v>
      </c>
      <c r="B899" t="s">
        <v>30</v>
      </c>
      <c r="C899" t="s">
        <v>28</v>
      </c>
      <c r="D899" t="s">
        <v>49</v>
      </c>
      <c r="E899">
        <v>30</v>
      </c>
      <c r="F899">
        <v>40</v>
      </c>
      <c r="G899" t="s">
        <v>70</v>
      </c>
      <c r="H899" t="s">
        <v>41</v>
      </c>
      <c r="I899" s="24">
        <v>46089</v>
      </c>
      <c r="J899" t="s">
        <v>117</v>
      </c>
      <c r="K899" t="s">
        <v>117</v>
      </c>
      <c r="L899" t="s">
        <v>117</v>
      </c>
      <c r="M899">
        <v>0</v>
      </c>
      <c r="N899">
        <v>0</v>
      </c>
      <c r="O899">
        <v>5.7142857142857144</v>
      </c>
      <c r="P899">
        <v>0</v>
      </c>
    </row>
    <row r="900" spans="1:16" x14ac:dyDescent="0.45">
      <c r="A900" t="s">
        <v>50</v>
      </c>
      <c r="B900" t="s">
        <v>27</v>
      </c>
      <c r="C900" t="s">
        <v>28</v>
      </c>
      <c r="D900" t="s">
        <v>49</v>
      </c>
      <c r="E900">
        <v>25</v>
      </c>
      <c r="F900">
        <v>40</v>
      </c>
      <c r="G900" t="s">
        <v>70</v>
      </c>
      <c r="H900" t="s">
        <v>37</v>
      </c>
      <c r="I900" s="24">
        <v>46089</v>
      </c>
      <c r="J900" t="s">
        <v>117</v>
      </c>
      <c r="K900" t="s">
        <v>117</v>
      </c>
      <c r="L900" t="s">
        <v>117</v>
      </c>
      <c r="M900">
        <v>7</v>
      </c>
      <c r="N900">
        <v>175</v>
      </c>
      <c r="O900">
        <v>5.7142857142857144</v>
      </c>
      <c r="P900">
        <v>0</v>
      </c>
    </row>
    <row r="901" spans="1:16" x14ac:dyDescent="0.45">
      <c r="A901" t="s">
        <v>51</v>
      </c>
      <c r="B901" t="s">
        <v>27</v>
      </c>
      <c r="C901" t="s">
        <v>28</v>
      </c>
      <c r="D901" t="s">
        <v>49</v>
      </c>
      <c r="E901">
        <v>25</v>
      </c>
      <c r="F901">
        <v>40</v>
      </c>
      <c r="G901" t="s">
        <v>70</v>
      </c>
      <c r="H901" t="s">
        <v>35</v>
      </c>
      <c r="I901" s="24">
        <v>46089</v>
      </c>
      <c r="J901" t="s">
        <v>117</v>
      </c>
      <c r="K901" t="s">
        <v>117</v>
      </c>
      <c r="L901" t="s">
        <v>117</v>
      </c>
      <c r="M901">
        <v>7</v>
      </c>
      <c r="N901">
        <v>175</v>
      </c>
      <c r="O901">
        <v>5.7142857142857144</v>
      </c>
      <c r="P901">
        <v>0</v>
      </c>
    </row>
    <row r="902" spans="1:16" x14ac:dyDescent="0.45">
      <c r="A902" t="s">
        <v>52</v>
      </c>
      <c r="B902" t="s">
        <v>26</v>
      </c>
      <c r="C902" t="s">
        <v>26</v>
      </c>
      <c r="D902" t="s">
        <v>49</v>
      </c>
      <c r="E902">
        <v>35</v>
      </c>
      <c r="F902">
        <v>40</v>
      </c>
      <c r="G902" t="s">
        <v>70</v>
      </c>
      <c r="H902" t="s">
        <v>41</v>
      </c>
      <c r="I902" s="24">
        <v>46089</v>
      </c>
      <c r="J902" t="s">
        <v>117</v>
      </c>
      <c r="K902" t="s">
        <v>117</v>
      </c>
      <c r="L902" t="s">
        <v>117</v>
      </c>
      <c r="M902">
        <v>0</v>
      </c>
      <c r="N902">
        <v>0</v>
      </c>
      <c r="O902">
        <v>5.7142857142857144</v>
      </c>
      <c r="P902">
        <v>0</v>
      </c>
    </row>
    <row r="903" spans="1:16" x14ac:dyDescent="0.45">
      <c r="A903" t="s">
        <v>53</v>
      </c>
      <c r="B903" t="s">
        <v>26</v>
      </c>
      <c r="C903" t="s">
        <v>26</v>
      </c>
      <c r="D903" t="s">
        <v>49</v>
      </c>
      <c r="E903">
        <v>35</v>
      </c>
      <c r="F903">
        <v>40</v>
      </c>
      <c r="G903" t="s">
        <v>70</v>
      </c>
      <c r="H903" t="s">
        <v>42</v>
      </c>
      <c r="I903" s="24">
        <v>46089</v>
      </c>
      <c r="J903" t="s">
        <v>117</v>
      </c>
      <c r="K903" t="s">
        <v>117</v>
      </c>
      <c r="L903" t="s">
        <v>117</v>
      </c>
      <c r="M903">
        <v>8</v>
      </c>
      <c r="N903">
        <v>280</v>
      </c>
      <c r="O903">
        <v>5.7142857142857144</v>
      </c>
      <c r="P903">
        <v>0</v>
      </c>
    </row>
    <row r="904" spans="1:16" x14ac:dyDescent="0.45">
      <c r="A904" t="s">
        <v>54</v>
      </c>
      <c r="B904" t="s">
        <v>25</v>
      </c>
      <c r="C904" t="s">
        <v>26</v>
      </c>
      <c r="D904" t="s">
        <v>49</v>
      </c>
      <c r="E904">
        <v>28</v>
      </c>
      <c r="F904">
        <v>40</v>
      </c>
      <c r="G904" t="s">
        <v>70</v>
      </c>
      <c r="H904" t="s">
        <v>44</v>
      </c>
      <c r="I904" s="24">
        <v>46089</v>
      </c>
      <c r="J904" t="s">
        <v>117</v>
      </c>
      <c r="K904" t="s">
        <v>117</v>
      </c>
      <c r="L904" t="s">
        <v>117</v>
      </c>
      <c r="M904">
        <v>8</v>
      </c>
      <c r="N904">
        <v>224</v>
      </c>
      <c r="O904">
        <v>5.7142857142857144</v>
      </c>
      <c r="P904">
        <v>0</v>
      </c>
    </row>
    <row r="905" spans="1:16" x14ac:dyDescent="0.45">
      <c r="A905" t="s">
        <v>55</v>
      </c>
      <c r="B905" t="s">
        <v>25</v>
      </c>
      <c r="C905" t="s">
        <v>26</v>
      </c>
      <c r="D905" t="s">
        <v>49</v>
      </c>
      <c r="E905">
        <v>28</v>
      </c>
      <c r="F905">
        <v>40</v>
      </c>
      <c r="G905" t="s">
        <v>70</v>
      </c>
      <c r="H905" t="s">
        <v>41</v>
      </c>
      <c r="I905" s="24">
        <v>46089</v>
      </c>
      <c r="J905" t="s">
        <v>117</v>
      </c>
      <c r="K905" t="s">
        <v>117</v>
      </c>
      <c r="L905" t="s">
        <v>117</v>
      </c>
      <c r="M905">
        <v>0</v>
      </c>
      <c r="N905">
        <v>0</v>
      </c>
      <c r="O905">
        <v>5.7142857142857144</v>
      </c>
      <c r="P905">
        <v>0</v>
      </c>
    </row>
    <row r="906" spans="1:16" x14ac:dyDescent="0.45">
      <c r="A906" t="s">
        <v>56</v>
      </c>
      <c r="B906" t="s">
        <v>29</v>
      </c>
      <c r="C906" t="s">
        <v>29</v>
      </c>
      <c r="D906" t="s">
        <v>49</v>
      </c>
      <c r="E906">
        <v>20</v>
      </c>
      <c r="F906">
        <v>40</v>
      </c>
      <c r="G906" t="s">
        <v>70</v>
      </c>
      <c r="H906" t="s">
        <v>45</v>
      </c>
      <c r="I906" s="24">
        <v>46089</v>
      </c>
      <c r="J906" t="s">
        <v>117</v>
      </c>
      <c r="K906" t="s">
        <v>117</v>
      </c>
      <c r="L906" t="s">
        <v>117</v>
      </c>
      <c r="M906">
        <v>8</v>
      </c>
      <c r="N906">
        <v>160</v>
      </c>
      <c r="O906">
        <v>5.7142857142857144</v>
      </c>
      <c r="P906">
        <v>0</v>
      </c>
    </row>
    <row r="907" spans="1:16" x14ac:dyDescent="0.45">
      <c r="A907" t="s">
        <v>57</v>
      </c>
      <c r="B907" t="s">
        <v>29</v>
      </c>
      <c r="C907" t="s">
        <v>29</v>
      </c>
      <c r="D907" t="s">
        <v>49</v>
      </c>
      <c r="E907">
        <v>20</v>
      </c>
      <c r="F907">
        <v>40</v>
      </c>
      <c r="G907" t="s">
        <v>70</v>
      </c>
      <c r="H907" t="s">
        <v>41</v>
      </c>
      <c r="I907" s="24">
        <v>46089</v>
      </c>
      <c r="J907" t="s">
        <v>117</v>
      </c>
      <c r="K907" t="s">
        <v>117</v>
      </c>
      <c r="L907" t="s">
        <v>117</v>
      </c>
      <c r="M907">
        <v>0</v>
      </c>
      <c r="N907">
        <v>0</v>
      </c>
      <c r="O907">
        <v>5.7142857142857144</v>
      </c>
      <c r="P907">
        <v>0</v>
      </c>
    </row>
    <row r="908" spans="1:16" x14ac:dyDescent="0.45">
      <c r="A908" t="s">
        <v>58</v>
      </c>
      <c r="B908" t="s">
        <v>29</v>
      </c>
      <c r="C908" t="s">
        <v>29</v>
      </c>
      <c r="D908" t="s">
        <v>49</v>
      </c>
      <c r="E908">
        <v>20</v>
      </c>
      <c r="F908">
        <v>40</v>
      </c>
      <c r="G908" t="s">
        <v>70</v>
      </c>
      <c r="H908" t="s">
        <v>44</v>
      </c>
      <c r="I908" s="24">
        <v>46089</v>
      </c>
      <c r="J908" t="s">
        <v>117</v>
      </c>
      <c r="K908" t="s">
        <v>117</v>
      </c>
      <c r="L908" t="s">
        <v>117</v>
      </c>
      <c r="M908">
        <v>8</v>
      </c>
      <c r="N908">
        <v>160</v>
      </c>
      <c r="O908">
        <v>5.7142857142857144</v>
      </c>
      <c r="P908">
        <v>0</v>
      </c>
    </row>
    <row r="909" spans="1:16" x14ac:dyDescent="0.45">
      <c r="A909" t="s">
        <v>59</v>
      </c>
      <c r="B909" t="s">
        <v>29</v>
      </c>
      <c r="C909" t="s">
        <v>29</v>
      </c>
      <c r="D909" t="s">
        <v>60</v>
      </c>
      <c r="E909">
        <v>15</v>
      </c>
      <c r="F909">
        <v>20</v>
      </c>
      <c r="G909" t="s">
        <v>70</v>
      </c>
      <c r="H909" t="s">
        <v>41</v>
      </c>
      <c r="I909" s="24">
        <v>46089</v>
      </c>
      <c r="J909" t="s">
        <v>117</v>
      </c>
      <c r="K909" t="s">
        <v>117</v>
      </c>
      <c r="L909" t="s">
        <v>117</v>
      </c>
      <c r="M909">
        <v>0</v>
      </c>
      <c r="N909">
        <v>0</v>
      </c>
      <c r="O909">
        <v>2.8571428571428572</v>
      </c>
      <c r="P909">
        <v>0</v>
      </c>
    </row>
    <row r="910" spans="1:16" x14ac:dyDescent="0.45">
      <c r="A910" t="s">
        <v>61</v>
      </c>
      <c r="B910" t="s">
        <v>29</v>
      </c>
      <c r="C910" t="s">
        <v>29</v>
      </c>
      <c r="D910" t="s">
        <v>60</v>
      </c>
      <c r="E910">
        <v>15</v>
      </c>
      <c r="F910">
        <v>20</v>
      </c>
      <c r="G910" t="s">
        <v>70</v>
      </c>
      <c r="H910" t="s">
        <v>41</v>
      </c>
      <c r="I910" s="24">
        <v>46089</v>
      </c>
      <c r="J910" t="s">
        <v>117</v>
      </c>
      <c r="K910" t="s">
        <v>117</v>
      </c>
      <c r="L910" t="s">
        <v>117</v>
      </c>
      <c r="M910">
        <v>0</v>
      </c>
      <c r="N910">
        <v>0</v>
      </c>
      <c r="O910">
        <v>2.8571428571428572</v>
      </c>
      <c r="P910">
        <v>0</v>
      </c>
    </row>
    <row r="911" spans="1:16" x14ac:dyDescent="0.45">
      <c r="A911" t="s">
        <v>62</v>
      </c>
      <c r="B911" t="s">
        <v>29</v>
      </c>
      <c r="C911" t="s">
        <v>29</v>
      </c>
      <c r="D911" t="s">
        <v>60</v>
      </c>
      <c r="E911">
        <v>15</v>
      </c>
      <c r="F911">
        <v>20</v>
      </c>
      <c r="G911" t="s">
        <v>70</v>
      </c>
      <c r="H911" t="s">
        <v>46</v>
      </c>
      <c r="I911" s="24">
        <v>46089</v>
      </c>
      <c r="J911" t="s">
        <v>117</v>
      </c>
      <c r="K911" t="s">
        <v>117</v>
      </c>
      <c r="L911" t="s">
        <v>117</v>
      </c>
      <c r="M911">
        <v>5</v>
      </c>
      <c r="N911">
        <v>75</v>
      </c>
      <c r="O911">
        <v>2.8571428571428572</v>
      </c>
      <c r="P911">
        <v>0</v>
      </c>
    </row>
    <row r="912" spans="1:16" x14ac:dyDescent="0.45">
      <c r="A912" t="s">
        <v>48</v>
      </c>
      <c r="B912" t="s">
        <v>30</v>
      </c>
      <c r="C912" t="s">
        <v>28</v>
      </c>
      <c r="D912" t="s">
        <v>49</v>
      </c>
      <c r="E912">
        <v>30</v>
      </c>
      <c r="F912">
        <v>40</v>
      </c>
      <c r="G912" t="s">
        <v>64</v>
      </c>
      <c r="H912" t="s">
        <v>35</v>
      </c>
      <c r="I912" s="24">
        <v>46090</v>
      </c>
      <c r="J912" t="s">
        <v>117</v>
      </c>
      <c r="K912" t="s">
        <v>117</v>
      </c>
      <c r="L912" t="s">
        <v>117</v>
      </c>
      <c r="M912">
        <v>7</v>
      </c>
      <c r="N912">
        <v>210</v>
      </c>
      <c r="O912">
        <v>5.7142857142857144</v>
      </c>
      <c r="P912">
        <v>0</v>
      </c>
    </row>
    <row r="913" spans="1:16" x14ac:dyDescent="0.45">
      <c r="A913" t="s">
        <v>50</v>
      </c>
      <c r="B913" t="s">
        <v>27</v>
      </c>
      <c r="C913" t="s">
        <v>28</v>
      </c>
      <c r="D913" t="s">
        <v>49</v>
      </c>
      <c r="E913">
        <v>25</v>
      </c>
      <c r="F913">
        <v>40</v>
      </c>
      <c r="G913" t="s">
        <v>64</v>
      </c>
      <c r="H913" t="s">
        <v>37</v>
      </c>
      <c r="I913" s="24">
        <v>46090</v>
      </c>
      <c r="J913" t="s">
        <v>117</v>
      </c>
      <c r="K913" t="s">
        <v>117</v>
      </c>
      <c r="L913" t="s">
        <v>117</v>
      </c>
      <c r="M913">
        <v>7</v>
      </c>
      <c r="N913">
        <v>175</v>
      </c>
      <c r="O913">
        <v>5.7142857142857144</v>
      </c>
      <c r="P913">
        <v>0</v>
      </c>
    </row>
    <row r="914" spans="1:16" x14ac:dyDescent="0.45">
      <c r="A914" t="s">
        <v>51</v>
      </c>
      <c r="B914" t="s">
        <v>27</v>
      </c>
      <c r="C914" t="s">
        <v>28</v>
      </c>
      <c r="D914" t="s">
        <v>49</v>
      </c>
      <c r="E914">
        <v>25</v>
      </c>
      <c r="F914">
        <v>40</v>
      </c>
      <c r="G914" t="s">
        <v>64</v>
      </c>
      <c r="H914" t="s">
        <v>41</v>
      </c>
      <c r="I914" s="24">
        <v>46090</v>
      </c>
      <c r="J914" t="s">
        <v>117</v>
      </c>
      <c r="K914" t="s">
        <v>117</v>
      </c>
      <c r="L914" t="s">
        <v>117</v>
      </c>
      <c r="M914">
        <v>0</v>
      </c>
      <c r="N914">
        <v>0</v>
      </c>
      <c r="O914">
        <v>5.7142857142857144</v>
      </c>
      <c r="P914">
        <v>0</v>
      </c>
    </row>
    <row r="915" spans="1:16" x14ac:dyDescent="0.45">
      <c r="A915" t="s">
        <v>52</v>
      </c>
      <c r="B915" t="s">
        <v>26</v>
      </c>
      <c r="C915" t="s">
        <v>26</v>
      </c>
      <c r="D915" t="s">
        <v>49</v>
      </c>
      <c r="E915">
        <v>35</v>
      </c>
      <c r="F915">
        <v>40</v>
      </c>
      <c r="G915" t="s">
        <v>64</v>
      </c>
      <c r="H915" t="s">
        <v>42</v>
      </c>
      <c r="I915" s="24">
        <v>46090</v>
      </c>
      <c r="J915" t="s">
        <v>117</v>
      </c>
      <c r="K915" t="s">
        <v>117</v>
      </c>
      <c r="L915" t="s">
        <v>117</v>
      </c>
      <c r="M915">
        <v>8</v>
      </c>
      <c r="N915">
        <v>280</v>
      </c>
      <c r="O915">
        <v>5.7142857142857144</v>
      </c>
      <c r="P915">
        <v>0</v>
      </c>
    </row>
    <row r="916" spans="1:16" x14ac:dyDescent="0.45">
      <c r="A916" t="s">
        <v>53</v>
      </c>
      <c r="B916" t="s">
        <v>26</v>
      </c>
      <c r="C916" t="s">
        <v>26</v>
      </c>
      <c r="D916" t="s">
        <v>49</v>
      </c>
      <c r="E916">
        <v>35</v>
      </c>
      <c r="F916">
        <v>40</v>
      </c>
      <c r="G916" t="s">
        <v>64</v>
      </c>
      <c r="H916" t="s">
        <v>44</v>
      </c>
      <c r="I916" s="24">
        <v>46090</v>
      </c>
      <c r="J916" t="s">
        <v>117</v>
      </c>
      <c r="K916" t="s">
        <v>117</v>
      </c>
      <c r="L916" t="s">
        <v>117</v>
      </c>
      <c r="M916">
        <v>8</v>
      </c>
      <c r="N916">
        <v>280</v>
      </c>
      <c r="O916">
        <v>5.7142857142857144</v>
      </c>
      <c r="P916">
        <v>0</v>
      </c>
    </row>
    <row r="917" spans="1:16" x14ac:dyDescent="0.45">
      <c r="A917" t="s">
        <v>54</v>
      </c>
      <c r="B917" t="s">
        <v>25</v>
      </c>
      <c r="C917" t="s">
        <v>26</v>
      </c>
      <c r="D917" t="s">
        <v>49</v>
      </c>
      <c r="E917">
        <v>28</v>
      </c>
      <c r="F917">
        <v>40</v>
      </c>
      <c r="G917" t="s">
        <v>64</v>
      </c>
      <c r="H917" t="s">
        <v>41</v>
      </c>
      <c r="I917" s="24">
        <v>46090</v>
      </c>
      <c r="J917" t="s">
        <v>117</v>
      </c>
      <c r="K917" t="s">
        <v>117</v>
      </c>
      <c r="L917" t="s">
        <v>117</v>
      </c>
      <c r="M917">
        <v>0</v>
      </c>
      <c r="N917">
        <v>0</v>
      </c>
      <c r="O917">
        <v>5.7142857142857144</v>
      </c>
      <c r="P917">
        <v>0</v>
      </c>
    </row>
    <row r="918" spans="1:16" x14ac:dyDescent="0.45">
      <c r="A918" t="s">
        <v>55</v>
      </c>
      <c r="B918" t="s">
        <v>25</v>
      </c>
      <c r="C918" t="s">
        <v>26</v>
      </c>
      <c r="D918" t="s">
        <v>49</v>
      </c>
      <c r="E918">
        <v>28</v>
      </c>
      <c r="F918">
        <v>40</v>
      </c>
      <c r="G918" t="s">
        <v>64</v>
      </c>
      <c r="H918" t="s">
        <v>44</v>
      </c>
      <c r="I918" s="24">
        <v>46090</v>
      </c>
      <c r="J918" t="s">
        <v>117</v>
      </c>
      <c r="K918" t="s">
        <v>117</v>
      </c>
      <c r="L918" t="s">
        <v>117</v>
      </c>
      <c r="M918">
        <v>8</v>
      </c>
      <c r="N918">
        <v>224</v>
      </c>
      <c r="O918">
        <v>5.7142857142857144</v>
      </c>
      <c r="P918">
        <v>0</v>
      </c>
    </row>
    <row r="919" spans="1:16" x14ac:dyDescent="0.45">
      <c r="A919" t="s">
        <v>56</v>
      </c>
      <c r="B919" t="s">
        <v>29</v>
      </c>
      <c r="C919" t="s">
        <v>29</v>
      </c>
      <c r="D919" t="s">
        <v>49</v>
      </c>
      <c r="E919">
        <v>20</v>
      </c>
      <c r="F919">
        <v>40</v>
      </c>
      <c r="G919" t="s">
        <v>64</v>
      </c>
      <c r="H919" t="s">
        <v>45</v>
      </c>
      <c r="I919" s="24">
        <v>46090</v>
      </c>
      <c r="J919" t="s">
        <v>117</v>
      </c>
      <c r="K919" t="s">
        <v>117</v>
      </c>
      <c r="L919" t="s">
        <v>117</v>
      </c>
      <c r="M919">
        <v>8</v>
      </c>
      <c r="N919">
        <v>160</v>
      </c>
      <c r="O919">
        <v>5.7142857142857144</v>
      </c>
      <c r="P919">
        <v>0</v>
      </c>
    </row>
    <row r="920" spans="1:16" x14ac:dyDescent="0.45">
      <c r="A920" t="s">
        <v>57</v>
      </c>
      <c r="B920" t="s">
        <v>29</v>
      </c>
      <c r="C920" t="s">
        <v>29</v>
      </c>
      <c r="D920" t="s">
        <v>49</v>
      </c>
      <c r="E920">
        <v>20</v>
      </c>
      <c r="F920">
        <v>40</v>
      </c>
      <c r="G920" t="s">
        <v>64</v>
      </c>
      <c r="H920" t="s">
        <v>44</v>
      </c>
      <c r="I920" s="24">
        <v>46090</v>
      </c>
      <c r="J920" t="s">
        <v>117</v>
      </c>
      <c r="K920" t="s">
        <v>117</v>
      </c>
      <c r="L920" t="s">
        <v>117</v>
      </c>
      <c r="M920">
        <v>8</v>
      </c>
      <c r="N920">
        <v>160</v>
      </c>
      <c r="O920">
        <v>5.7142857142857144</v>
      </c>
      <c r="P920">
        <v>0</v>
      </c>
    </row>
    <row r="921" spans="1:16" x14ac:dyDescent="0.45">
      <c r="A921" t="s">
        <v>58</v>
      </c>
      <c r="B921" t="s">
        <v>29</v>
      </c>
      <c r="C921" t="s">
        <v>29</v>
      </c>
      <c r="D921" t="s">
        <v>49</v>
      </c>
      <c r="E921">
        <v>20</v>
      </c>
      <c r="F921">
        <v>40</v>
      </c>
      <c r="G921" t="s">
        <v>64</v>
      </c>
      <c r="H921" t="s">
        <v>41</v>
      </c>
      <c r="I921" s="24">
        <v>46090</v>
      </c>
      <c r="J921" t="s">
        <v>117</v>
      </c>
      <c r="K921" t="s">
        <v>117</v>
      </c>
      <c r="L921" t="s">
        <v>117</v>
      </c>
      <c r="M921">
        <v>0</v>
      </c>
      <c r="N921">
        <v>0</v>
      </c>
      <c r="O921">
        <v>5.7142857142857144</v>
      </c>
      <c r="P921">
        <v>0</v>
      </c>
    </row>
    <row r="922" spans="1:16" x14ac:dyDescent="0.45">
      <c r="A922" t="s">
        <v>59</v>
      </c>
      <c r="B922" t="s">
        <v>29</v>
      </c>
      <c r="C922" t="s">
        <v>29</v>
      </c>
      <c r="D922" t="s">
        <v>60</v>
      </c>
      <c r="E922">
        <v>15</v>
      </c>
      <c r="F922">
        <v>20</v>
      </c>
      <c r="G922" t="s">
        <v>64</v>
      </c>
      <c r="H922" t="s">
        <v>41</v>
      </c>
      <c r="I922" s="24">
        <v>46090</v>
      </c>
      <c r="J922" t="s">
        <v>117</v>
      </c>
      <c r="K922" t="s">
        <v>117</v>
      </c>
      <c r="L922" t="s">
        <v>117</v>
      </c>
      <c r="M922">
        <v>0</v>
      </c>
      <c r="N922">
        <v>0</v>
      </c>
      <c r="O922">
        <v>2.8571428571428572</v>
      </c>
      <c r="P922">
        <v>0</v>
      </c>
    </row>
    <row r="923" spans="1:16" x14ac:dyDescent="0.45">
      <c r="A923" t="s">
        <v>61</v>
      </c>
      <c r="B923" t="s">
        <v>29</v>
      </c>
      <c r="C923" t="s">
        <v>29</v>
      </c>
      <c r="D923" t="s">
        <v>60</v>
      </c>
      <c r="E923">
        <v>15</v>
      </c>
      <c r="F923">
        <v>20</v>
      </c>
      <c r="G923" t="s">
        <v>64</v>
      </c>
      <c r="H923" t="s">
        <v>46</v>
      </c>
      <c r="I923" s="24">
        <v>46090</v>
      </c>
      <c r="J923" t="s">
        <v>117</v>
      </c>
      <c r="K923" t="s">
        <v>117</v>
      </c>
      <c r="L923" t="s">
        <v>117</v>
      </c>
      <c r="M923">
        <v>5</v>
      </c>
      <c r="N923">
        <v>75</v>
      </c>
      <c r="O923">
        <v>2.8571428571428572</v>
      </c>
      <c r="P923">
        <v>0</v>
      </c>
    </row>
    <row r="924" spans="1:16" x14ac:dyDescent="0.45">
      <c r="A924" t="s">
        <v>62</v>
      </c>
      <c r="B924" t="s">
        <v>29</v>
      </c>
      <c r="C924" t="s">
        <v>29</v>
      </c>
      <c r="D924" t="s">
        <v>60</v>
      </c>
      <c r="E924">
        <v>15</v>
      </c>
      <c r="F924">
        <v>20</v>
      </c>
      <c r="G924" t="s">
        <v>64</v>
      </c>
      <c r="H924" t="s">
        <v>40</v>
      </c>
      <c r="I924" s="24">
        <v>46090</v>
      </c>
      <c r="J924" t="s">
        <v>117</v>
      </c>
      <c r="K924" t="s">
        <v>117</v>
      </c>
      <c r="L924" t="s">
        <v>117</v>
      </c>
      <c r="M924">
        <v>5</v>
      </c>
      <c r="N924">
        <v>75</v>
      </c>
      <c r="O924">
        <v>2.8571428571428572</v>
      </c>
      <c r="P924">
        <v>0</v>
      </c>
    </row>
    <row r="925" spans="1:16" x14ac:dyDescent="0.45">
      <c r="A925" t="s">
        <v>48</v>
      </c>
      <c r="B925" t="s">
        <v>30</v>
      </c>
      <c r="C925" t="s">
        <v>28</v>
      </c>
      <c r="D925" t="s">
        <v>49</v>
      </c>
      <c r="E925">
        <v>30</v>
      </c>
      <c r="F925">
        <v>40</v>
      </c>
      <c r="G925" t="s">
        <v>65</v>
      </c>
      <c r="H925" t="s">
        <v>35</v>
      </c>
      <c r="I925" s="24">
        <v>46091</v>
      </c>
      <c r="J925" t="s">
        <v>117</v>
      </c>
      <c r="K925" t="s">
        <v>117</v>
      </c>
      <c r="L925" t="s">
        <v>117</v>
      </c>
      <c r="M925">
        <v>7</v>
      </c>
      <c r="N925">
        <v>210</v>
      </c>
      <c r="O925">
        <v>5.7142857142857144</v>
      </c>
      <c r="P925">
        <v>0</v>
      </c>
    </row>
    <row r="926" spans="1:16" x14ac:dyDescent="0.45">
      <c r="A926" t="s">
        <v>50</v>
      </c>
      <c r="B926" t="s">
        <v>27</v>
      </c>
      <c r="C926" t="s">
        <v>28</v>
      </c>
      <c r="D926" t="s">
        <v>49</v>
      </c>
      <c r="E926">
        <v>25</v>
      </c>
      <c r="F926">
        <v>40</v>
      </c>
      <c r="G926" t="s">
        <v>65</v>
      </c>
      <c r="H926" t="s">
        <v>37</v>
      </c>
      <c r="I926" s="24">
        <v>46091</v>
      </c>
      <c r="J926" t="s">
        <v>117</v>
      </c>
      <c r="K926" t="s">
        <v>117</v>
      </c>
      <c r="L926" t="s">
        <v>117</v>
      </c>
      <c r="M926">
        <v>7</v>
      </c>
      <c r="N926">
        <v>175</v>
      </c>
      <c r="O926">
        <v>5.7142857142857144</v>
      </c>
      <c r="P926">
        <v>0</v>
      </c>
    </row>
    <row r="927" spans="1:16" x14ac:dyDescent="0.45">
      <c r="A927" t="s">
        <v>51</v>
      </c>
      <c r="B927" t="s">
        <v>27</v>
      </c>
      <c r="C927" t="s">
        <v>28</v>
      </c>
      <c r="D927" t="s">
        <v>49</v>
      </c>
      <c r="E927">
        <v>25</v>
      </c>
      <c r="F927">
        <v>40</v>
      </c>
      <c r="G927" t="s">
        <v>65</v>
      </c>
      <c r="H927" t="s">
        <v>35</v>
      </c>
      <c r="I927" s="24">
        <v>46091</v>
      </c>
      <c r="J927" t="s">
        <v>117</v>
      </c>
      <c r="K927" t="s">
        <v>117</v>
      </c>
      <c r="L927" t="s">
        <v>117</v>
      </c>
      <c r="M927">
        <v>7</v>
      </c>
      <c r="N927">
        <v>175</v>
      </c>
      <c r="O927">
        <v>5.7142857142857144</v>
      </c>
      <c r="P927">
        <v>0</v>
      </c>
    </row>
    <row r="928" spans="1:16" x14ac:dyDescent="0.45">
      <c r="A928" t="s">
        <v>52</v>
      </c>
      <c r="B928" t="s">
        <v>26</v>
      </c>
      <c r="C928" t="s">
        <v>26</v>
      </c>
      <c r="D928" t="s">
        <v>49</v>
      </c>
      <c r="E928">
        <v>35</v>
      </c>
      <c r="F928">
        <v>40</v>
      </c>
      <c r="G928" t="s">
        <v>65</v>
      </c>
      <c r="H928" t="s">
        <v>42</v>
      </c>
      <c r="I928" s="24">
        <v>46091</v>
      </c>
      <c r="J928" t="s">
        <v>117</v>
      </c>
      <c r="K928" t="s">
        <v>117</v>
      </c>
      <c r="L928" t="s">
        <v>117</v>
      </c>
      <c r="M928">
        <v>8</v>
      </c>
      <c r="N928">
        <v>280</v>
      </c>
      <c r="O928">
        <v>5.7142857142857144</v>
      </c>
      <c r="P928">
        <v>0</v>
      </c>
    </row>
    <row r="929" spans="1:16" x14ac:dyDescent="0.45">
      <c r="A929" t="s">
        <v>53</v>
      </c>
      <c r="B929" t="s">
        <v>26</v>
      </c>
      <c r="C929" t="s">
        <v>26</v>
      </c>
      <c r="D929" t="s">
        <v>49</v>
      </c>
      <c r="E929">
        <v>35</v>
      </c>
      <c r="F929">
        <v>40</v>
      </c>
      <c r="G929" t="s">
        <v>65</v>
      </c>
      <c r="H929" t="s">
        <v>44</v>
      </c>
      <c r="I929" s="24">
        <v>46091</v>
      </c>
      <c r="J929" t="s">
        <v>117</v>
      </c>
      <c r="K929" t="s">
        <v>117</v>
      </c>
      <c r="L929" t="s">
        <v>117</v>
      </c>
      <c r="M929">
        <v>8</v>
      </c>
      <c r="N929">
        <v>280</v>
      </c>
      <c r="O929">
        <v>5.7142857142857144</v>
      </c>
      <c r="P929">
        <v>0</v>
      </c>
    </row>
    <row r="930" spans="1:16" x14ac:dyDescent="0.45">
      <c r="A930" t="s">
        <v>54</v>
      </c>
      <c r="B930" t="s">
        <v>25</v>
      </c>
      <c r="C930" t="s">
        <v>26</v>
      </c>
      <c r="D930" t="s">
        <v>49</v>
      </c>
      <c r="E930">
        <v>28</v>
      </c>
      <c r="F930">
        <v>40</v>
      </c>
      <c r="G930" t="s">
        <v>65</v>
      </c>
      <c r="H930" t="s">
        <v>41</v>
      </c>
      <c r="I930" s="24">
        <v>46091</v>
      </c>
      <c r="J930" t="s">
        <v>117</v>
      </c>
      <c r="K930" t="s">
        <v>117</v>
      </c>
      <c r="L930" t="s">
        <v>117</v>
      </c>
      <c r="M930">
        <v>0</v>
      </c>
      <c r="N930">
        <v>0</v>
      </c>
      <c r="O930">
        <v>5.7142857142857144</v>
      </c>
      <c r="P930">
        <v>0</v>
      </c>
    </row>
    <row r="931" spans="1:16" x14ac:dyDescent="0.45">
      <c r="A931" t="s">
        <v>55</v>
      </c>
      <c r="B931" t="s">
        <v>25</v>
      </c>
      <c r="C931" t="s">
        <v>26</v>
      </c>
      <c r="D931" t="s">
        <v>49</v>
      </c>
      <c r="E931">
        <v>28</v>
      </c>
      <c r="F931">
        <v>40</v>
      </c>
      <c r="G931" t="s">
        <v>65</v>
      </c>
      <c r="H931" t="s">
        <v>44</v>
      </c>
      <c r="I931" s="24">
        <v>46091</v>
      </c>
      <c r="J931" t="s">
        <v>117</v>
      </c>
      <c r="K931" t="s">
        <v>117</v>
      </c>
      <c r="L931" t="s">
        <v>117</v>
      </c>
      <c r="M931">
        <v>8</v>
      </c>
      <c r="N931">
        <v>224</v>
      </c>
      <c r="O931">
        <v>5.7142857142857144</v>
      </c>
      <c r="P931">
        <v>0</v>
      </c>
    </row>
    <row r="932" spans="1:16" x14ac:dyDescent="0.45">
      <c r="A932" t="s">
        <v>56</v>
      </c>
      <c r="B932" t="s">
        <v>29</v>
      </c>
      <c r="C932" t="s">
        <v>29</v>
      </c>
      <c r="D932" t="s">
        <v>49</v>
      </c>
      <c r="E932">
        <v>20</v>
      </c>
      <c r="F932">
        <v>40</v>
      </c>
      <c r="G932" t="s">
        <v>65</v>
      </c>
      <c r="H932" t="s">
        <v>45</v>
      </c>
      <c r="I932" s="24">
        <v>46091</v>
      </c>
      <c r="J932" t="s">
        <v>117</v>
      </c>
      <c r="K932" t="s">
        <v>117</v>
      </c>
      <c r="L932" t="s">
        <v>117</v>
      </c>
      <c r="M932">
        <v>8</v>
      </c>
      <c r="N932">
        <v>160</v>
      </c>
      <c r="O932">
        <v>5.7142857142857144</v>
      </c>
      <c r="P932">
        <v>0</v>
      </c>
    </row>
    <row r="933" spans="1:16" x14ac:dyDescent="0.45">
      <c r="A933" t="s">
        <v>57</v>
      </c>
      <c r="B933" t="s">
        <v>29</v>
      </c>
      <c r="C933" t="s">
        <v>29</v>
      </c>
      <c r="D933" t="s">
        <v>49</v>
      </c>
      <c r="E933">
        <v>20</v>
      </c>
      <c r="F933">
        <v>40</v>
      </c>
      <c r="G933" t="s">
        <v>65</v>
      </c>
      <c r="H933" t="s">
        <v>44</v>
      </c>
      <c r="I933" s="24">
        <v>46091</v>
      </c>
      <c r="J933" t="s">
        <v>117</v>
      </c>
      <c r="K933" t="s">
        <v>117</v>
      </c>
      <c r="L933" t="s">
        <v>117</v>
      </c>
      <c r="M933">
        <v>8</v>
      </c>
      <c r="N933">
        <v>160</v>
      </c>
      <c r="O933">
        <v>5.7142857142857144</v>
      </c>
      <c r="P933">
        <v>0</v>
      </c>
    </row>
    <row r="934" spans="1:16" x14ac:dyDescent="0.45">
      <c r="A934" t="s">
        <v>58</v>
      </c>
      <c r="B934" t="s">
        <v>29</v>
      </c>
      <c r="C934" t="s">
        <v>29</v>
      </c>
      <c r="D934" t="s">
        <v>49</v>
      </c>
      <c r="E934">
        <v>20</v>
      </c>
      <c r="F934">
        <v>40</v>
      </c>
      <c r="G934" t="s">
        <v>65</v>
      </c>
      <c r="H934" t="s">
        <v>41</v>
      </c>
      <c r="I934" s="24">
        <v>46091</v>
      </c>
      <c r="J934" t="s">
        <v>117</v>
      </c>
      <c r="K934" t="s">
        <v>117</v>
      </c>
      <c r="L934" t="s">
        <v>117</v>
      </c>
      <c r="M934">
        <v>0</v>
      </c>
      <c r="N934">
        <v>0</v>
      </c>
      <c r="O934">
        <v>5.7142857142857144</v>
      </c>
      <c r="P934">
        <v>0</v>
      </c>
    </row>
    <row r="935" spans="1:16" x14ac:dyDescent="0.45">
      <c r="A935" t="s">
        <v>59</v>
      </c>
      <c r="B935" t="s">
        <v>29</v>
      </c>
      <c r="C935" t="s">
        <v>29</v>
      </c>
      <c r="D935" t="s">
        <v>60</v>
      </c>
      <c r="E935">
        <v>15</v>
      </c>
      <c r="F935">
        <v>20</v>
      </c>
      <c r="G935" t="s">
        <v>65</v>
      </c>
      <c r="H935" t="s">
        <v>46</v>
      </c>
      <c r="I935" s="24">
        <v>46091</v>
      </c>
      <c r="J935" t="s">
        <v>117</v>
      </c>
      <c r="K935" t="s">
        <v>117</v>
      </c>
      <c r="L935" t="s">
        <v>117</v>
      </c>
      <c r="M935">
        <v>5</v>
      </c>
      <c r="N935">
        <v>75</v>
      </c>
      <c r="O935">
        <v>2.8571428571428572</v>
      </c>
      <c r="P935">
        <v>0</v>
      </c>
    </row>
    <row r="936" spans="1:16" x14ac:dyDescent="0.45">
      <c r="A936" t="s">
        <v>61</v>
      </c>
      <c r="B936" t="s">
        <v>29</v>
      </c>
      <c r="C936" t="s">
        <v>29</v>
      </c>
      <c r="D936" t="s">
        <v>60</v>
      </c>
      <c r="E936">
        <v>15</v>
      </c>
      <c r="F936">
        <v>20</v>
      </c>
      <c r="G936" t="s">
        <v>65</v>
      </c>
      <c r="H936" t="s">
        <v>40</v>
      </c>
      <c r="I936" s="24">
        <v>46091</v>
      </c>
      <c r="J936" t="s">
        <v>117</v>
      </c>
      <c r="K936" t="s">
        <v>117</v>
      </c>
      <c r="L936" t="s">
        <v>117</v>
      </c>
      <c r="M936">
        <v>5</v>
      </c>
      <c r="N936">
        <v>75</v>
      </c>
      <c r="O936">
        <v>2.8571428571428572</v>
      </c>
      <c r="P936">
        <v>0</v>
      </c>
    </row>
    <row r="937" spans="1:16" x14ac:dyDescent="0.45">
      <c r="A937" t="s">
        <v>62</v>
      </c>
      <c r="B937" t="s">
        <v>29</v>
      </c>
      <c r="C937" t="s">
        <v>29</v>
      </c>
      <c r="D937" t="s">
        <v>60</v>
      </c>
      <c r="E937">
        <v>15</v>
      </c>
      <c r="F937">
        <v>20</v>
      </c>
      <c r="G937" t="s">
        <v>65</v>
      </c>
      <c r="H937" t="s">
        <v>40</v>
      </c>
      <c r="I937" s="24">
        <v>46091</v>
      </c>
      <c r="J937" t="s">
        <v>117</v>
      </c>
      <c r="K937" t="s">
        <v>117</v>
      </c>
      <c r="L937" t="s">
        <v>117</v>
      </c>
      <c r="M937">
        <v>5</v>
      </c>
      <c r="N937">
        <v>75</v>
      </c>
      <c r="O937">
        <v>2.8571428571428572</v>
      </c>
      <c r="P937">
        <v>0</v>
      </c>
    </row>
    <row r="938" spans="1:16" x14ac:dyDescent="0.45">
      <c r="A938" t="s">
        <v>48</v>
      </c>
      <c r="B938" t="s">
        <v>30</v>
      </c>
      <c r="C938" t="s">
        <v>28</v>
      </c>
      <c r="D938" t="s">
        <v>49</v>
      </c>
      <c r="E938">
        <v>30</v>
      </c>
      <c r="F938">
        <v>40</v>
      </c>
      <c r="G938" t="s">
        <v>66</v>
      </c>
      <c r="H938" t="s">
        <v>40</v>
      </c>
      <c r="I938" s="24">
        <v>46092</v>
      </c>
      <c r="J938" t="s">
        <v>117</v>
      </c>
      <c r="K938" t="s">
        <v>117</v>
      </c>
      <c r="L938" t="s">
        <v>117</v>
      </c>
      <c r="M938">
        <v>5</v>
      </c>
      <c r="N938">
        <v>150</v>
      </c>
      <c r="O938">
        <v>5.7142857142857144</v>
      </c>
      <c r="P938">
        <v>0</v>
      </c>
    </row>
    <row r="939" spans="1:16" x14ac:dyDescent="0.45">
      <c r="A939" t="s">
        <v>50</v>
      </c>
      <c r="B939" t="s">
        <v>27</v>
      </c>
      <c r="C939" t="s">
        <v>28</v>
      </c>
      <c r="D939" t="s">
        <v>49</v>
      </c>
      <c r="E939">
        <v>25</v>
      </c>
      <c r="F939">
        <v>40</v>
      </c>
      <c r="G939" t="s">
        <v>66</v>
      </c>
      <c r="H939" t="s">
        <v>41</v>
      </c>
      <c r="I939" s="24">
        <v>46092</v>
      </c>
      <c r="J939" t="s">
        <v>117</v>
      </c>
      <c r="K939" t="s">
        <v>117</v>
      </c>
      <c r="L939" t="s">
        <v>117</v>
      </c>
      <c r="M939">
        <v>0</v>
      </c>
      <c r="N939">
        <v>0</v>
      </c>
      <c r="O939">
        <v>5.7142857142857144</v>
      </c>
      <c r="P939">
        <v>0</v>
      </c>
    </row>
    <row r="940" spans="1:16" x14ac:dyDescent="0.45">
      <c r="A940" t="s">
        <v>51</v>
      </c>
      <c r="B940" t="s">
        <v>27</v>
      </c>
      <c r="C940" t="s">
        <v>28</v>
      </c>
      <c r="D940" t="s">
        <v>49</v>
      </c>
      <c r="E940">
        <v>25</v>
      </c>
      <c r="F940">
        <v>40</v>
      </c>
      <c r="G940" t="s">
        <v>66</v>
      </c>
      <c r="H940" t="s">
        <v>35</v>
      </c>
      <c r="I940" s="24">
        <v>46092</v>
      </c>
      <c r="J940" t="s">
        <v>117</v>
      </c>
      <c r="K940" t="s">
        <v>117</v>
      </c>
      <c r="L940" t="s">
        <v>117</v>
      </c>
      <c r="M940">
        <v>7</v>
      </c>
      <c r="N940">
        <v>175</v>
      </c>
      <c r="O940">
        <v>5.7142857142857144</v>
      </c>
      <c r="P940">
        <v>0</v>
      </c>
    </row>
    <row r="941" spans="1:16" x14ac:dyDescent="0.45">
      <c r="A941" t="s">
        <v>52</v>
      </c>
      <c r="B941" t="s">
        <v>26</v>
      </c>
      <c r="C941" t="s">
        <v>26</v>
      </c>
      <c r="D941" t="s">
        <v>49</v>
      </c>
      <c r="E941">
        <v>35</v>
      </c>
      <c r="F941">
        <v>40</v>
      </c>
      <c r="G941" t="s">
        <v>66</v>
      </c>
      <c r="H941" t="s">
        <v>41</v>
      </c>
      <c r="I941" s="24">
        <v>46092</v>
      </c>
      <c r="J941" t="s">
        <v>117</v>
      </c>
      <c r="K941" t="s">
        <v>117</v>
      </c>
      <c r="L941" t="s">
        <v>117</v>
      </c>
      <c r="M941">
        <v>0</v>
      </c>
      <c r="N941">
        <v>0</v>
      </c>
      <c r="O941">
        <v>5.7142857142857144</v>
      </c>
      <c r="P941">
        <v>0</v>
      </c>
    </row>
    <row r="942" spans="1:16" x14ac:dyDescent="0.45">
      <c r="A942" t="s">
        <v>53</v>
      </c>
      <c r="B942" t="s">
        <v>26</v>
      </c>
      <c r="C942" t="s">
        <v>26</v>
      </c>
      <c r="D942" t="s">
        <v>49</v>
      </c>
      <c r="E942">
        <v>35</v>
      </c>
      <c r="F942">
        <v>40</v>
      </c>
      <c r="G942" t="s">
        <v>66</v>
      </c>
      <c r="H942" t="s">
        <v>44</v>
      </c>
      <c r="I942" s="24">
        <v>46092</v>
      </c>
      <c r="J942" t="s">
        <v>117</v>
      </c>
      <c r="K942" t="s">
        <v>117</v>
      </c>
      <c r="L942" t="s">
        <v>117</v>
      </c>
      <c r="M942">
        <v>8</v>
      </c>
      <c r="N942">
        <v>280</v>
      </c>
      <c r="O942">
        <v>5.7142857142857144</v>
      </c>
      <c r="P942">
        <v>0</v>
      </c>
    </row>
    <row r="943" spans="1:16" x14ac:dyDescent="0.45">
      <c r="A943" t="s">
        <v>54</v>
      </c>
      <c r="B943" t="s">
        <v>25</v>
      </c>
      <c r="C943" t="s">
        <v>26</v>
      </c>
      <c r="D943" t="s">
        <v>49</v>
      </c>
      <c r="E943">
        <v>28</v>
      </c>
      <c r="F943">
        <v>40</v>
      </c>
      <c r="G943" t="s">
        <v>66</v>
      </c>
      <c r="H943" t="s">
        <v>42</v>
      </c>
      <c r="I943" s="24">
        <v>46092</v>
      </c>
      <c r="J943" t="s">
        <v>117</v>
      </c>
      <c r="K943" t="s">
        <v>117</v>
      </c>
      <c r="L943" t="s">
        <v>117</v>
      </c>
      <c r="M943">
        <v>8</v>
      </c>
      <c r="N943">
        <v>224</v>
      </c>
      <c r="O943">
        <v>5.7142857142857144</v>
      </c>
      <c r="P943">
        <v>0</v>
      </c>
    </row>
    <row r="944" spans="1:16" x14ac:dyDescent="0.45">
      <c r="A944" t="s">
        <v>55</v>
      </c>
      <c r="B944" t="s">
        <v>25</v>
      </c>
      <c r="C944" t="s">
        <v>26</v>
      </c>
      <c r="D944" t="s">
        <v>49</v>
      </c>
      <c r="E944">
        <v>28</v>
      </c>
      <c r="F944">
        <v>40</v>
      </c>
      <c r="G944" t="s">
        <v>66</v>
      </c>
      <c r="H944" t="s">
        <v>44</v>
      </c>
      <c r="I944" s="24">
        <v>46092</v>
      </c>
      <c r="J944" t="s">
        <v>117</v>
      </c>
      <c r="K944" t="s">
        <v>117</v>
      </c>
      <c r="L944" t="s">
        <v>117</v>
      </c>
      <c r="M944">
        <v>8</v>
      </c>
      <c r="N944">
        <v>224</v>
      </c>
      <c r="O944">
        <v>5.7142857142857144</v>
      </c>
      <c r="P944">
        <v>0</v>
      </c>
    </row>
    <row r="945" spans="1:16" x14ac:dyDescent="0.45">
      <c r="A945" t="s">
        <v>56</v>
      </c>
      <c r="B945" t="s">
        <v>29</v>
      </c>
      <c r="C945" t="s">
        <v>29</v>
      </c>
      <c r="D945" t="s">
        <v>49</v>
      </c>
      <c r="E945">
        <v>20</v>
      </c>
      <c r="F945">
        <v>40</v>
      </c>
      <c r="G945" t="s">
        <v>66</v>
      </c>
      <c r="H945" t="s">
        <v>45</v>
      </c>
      <c r="I945" s="24">
        <v>46092</v>
      </c>
      <c r="J945" t="s">
        <v>117</v>
      </c>
      <c r="K945" t="s">
        <v>117</v>
      </c>
      <c r="L945" t="s">
        <v>117</v>
      </c>
      <c r="M945">
        <v>8</v>
      </c>
      <c r="N945">
        <v>160</v>
      </c>
      <c r="O945">
        <v>5.7142857142857144</v>
      </c>
      <c r="P945">
        <v>0</v>
      </c>
    </row>
    <row r="946" spans="1:16" x14ac:dyDescent="0.45">
      <c r="A946" t="s">
        <v>57</v>
      </c>
      <c r="B946" t="s">
        <v>29</v>
      </c>
      <c r="C946" t="s">
        <v>29</v>
      </c>
      <c r="D946" t="s">
        <v>49</v>
      </c>
      <c r="E946">
        <v>20</v>
      </c>
      <c r="F946">
        <v>40</v>
      </c>
      <c r="G946" t="s">
        <v>66</v>
      </c>
      <c r="H946" t="s">
        <v>44</v>
      </c>
      <c r="I946" s="24">
        <v>46092</v>
      </c>
      <c r="J946" t="s">
        <v>117</v>
      </c>
      <c r="K946" t="s">
        <v>117</v>
      </c>
      <c r="L946" t="s">
        <v>117</v>
      </c>
      <c r="M946">
        <v>8</v>
      </c>
      <c r="N946">
        <v>160</v>
      </c>
      <c r="O946">
        <v>5.7142857142857144</v>
      </c>
      <c r="P946">
        <v>0</v>
      </c>
    </row>
    <row r="947" spans="1:16" x14ac:dyDescent="0.45">
      <c r="A947" t="s">
        <v>58</v>
      </c>
      <c r="B947" t="s">
        <v>29</v>
      </c>
      <c r="C947" t="s">
        <v>29</v>
      </c>
      <c r="D947" t="s">
        <v>49</v>
      </c>
      <c r="E947">
        <v>20</v>
      </c>
      <c r="F947">
        <v>40</v>
      </c>
      <c r="G947" t="s">
        <v>66</v>
      </c>
      <c r="H947" t="s">
        <v>41</v>
      </c>
      <c r="I947" s="24">
        <v>46092</v>
      </c>
      <c r="J947" t="s">
        <v>117</v>
      </c>
      <c r="K947" t="s">
        <v>117</v>
      </c>
      <c r="L947" t="s">
        <v>117</v>
      </c>
      <c r="M947">
        <v>0</v>
      </c>
      <c r="N947">
        <v>0</v>
      </c>
      <c r="O947">
        <v>5.7142857142857144</v>
      </c>
      <c r="P947">
        <v>0</v>
      </c>
    </row>
    <row r="948" spans="1:16" x14ac:dyDescent="0.45">
      <c r="A948" t="s">
        <v>59</v>
      </c>
      <c r="B948" t="s">
        <v>29</v>
      </c>
      <c r="C948" t="s">
        <v>29</v>
      </c>
      <c r="D948" t="s">
        <v>60</v>
      </c>
      <c r="E948">
        <v>15</v>
      </c>
      <c r="F948">
        <v>20</v>
      </c>
      <c r="G948" t="s">
        <v>66</v>
      </c>
      <c r="H948" t="s">
        <v>46</v>
      </c>
      <c r="I948" s="24">
        <v>46092</v>
      </c>
      <c r="J948" t="s">
        <v>117</v>
      </c>
      <c r="K948" t="s">
        <v>117</v>
      </c>
      <c r="L948" t="s">
        <v>117</v>
      </c>
      <c r="M948">
        <v>5</v>
      </c>
      <c r="N948">
        <v>75</v>
      </c>
      <c r="O948">
        <v>2.8571428571428572</v>
      </c>
      <c r="P948">
        <v>0</v>
      </c>
    </row>
    <row r="949" spans="1:16" x14ac:dyDescent="0.45">
      <c r="A949" t="s">
        <v>61</v>
      </c>
      <c r="B949" t="s">
        <v>29</v>
      </c>
      <c r="C949" t="s">
        <v>29</v>
      </c>
      <c r="D949" t="s">
        <v>60</v>
      </c>
      <c r="E949">
        <v>15</v>
      </c>
      <c r="F949">
        <v>20</v>
      </c>
      <c r="G949" t="s">
        <v>66</v>
      </c>
      <c r="H949" t="s">
        <v>41</v>
      </c>
      <c r="I949" s="24">
        <v>46092</v>
      </c>
      <c r="J949" t="s">
        <v>117</v>
      </c>
      <c r="K949" t="s">
        <v>117</v>
      </c>
      <c r="L949" t="s">
        <v>117</v>
      </c>
      <c r="M949">
        <v>0</v>
      </c>
      <c r="N949">
        <v>0</v>
      </c>
      <c r="O949">
        <v>2.8571428571428572</v>
      </c>
      <c r="P949">
        <v>0</v>
      </c>
    </row>
    <row r="950" spans="1:16" x14ac:dyDescent="0.45">
      <c r="A950" t="s">
        <v>62</v>
      </c>
      <c r="B950" t="s">
        <v>29</v>
      </c>
      <c r="C950" t="s">
        <v>29</v>
      </c>
      <c r="D950" t="s">
        <v>60</v>
      </c>
      <c r="E950">
        <v>15</v>
      </c>
      <c r="F950">
        <v>20</v>
      </c>
      <c r="G950" t="s">
        <v>66</v>
      </c>
      <c r="H950" t="s">
        <v>41</v>
      </c>
      <c r="I950" s="24">
        <v>46092</v>
      </c>
      <c r="J950" t="s">
        <v>117</v>
      </c>
      <c r="K950" t="s">
        <v>117</v>
      </c>
      <c r="L950" t="s">
        <v>117</v>
      </c>
      <c r="M950">
        <v>0</v>
      </c>
      <c r="N950">
        <v>0</v>
      </c>
      <c r="O950">
        <v>2.8571428571428572</v>
      </c>
      <c r="P950">
        <v>0</v>
      </c>
    </row>
    <row r="951" spans="1:16" x14ac:dyDescent="0.45">
      <c r="A951" t="s">
        <v>48</v>
      </c>
      <c r="B951" t="s">
        <v>30</v>
      </c>
      <c r="C951" t="s">
        <v>28</v>
      </c>
      <c r="D951" t="s">
        <v>49</v>
      </c>
      <c r="E951">
        <v>30</v>
      </c>
      <c r="F951">
        <v>40</v>
      </c>
      <c r="G951" t="s">
        <v>67</v>
      </c>
      <c r="H951" t="s">
        <v>41</v>
      </c>
      <c r="I951" s="24">
        <v>46093</v>
      </c>
      <c r="J951" t="s">
        <v>117</v>
      </c>
      <c r="K951" t="s">
        <v>117</v>
      </c>
      <c r="L951" t="s">
        <v>117</v>
      </c>
      <c r="M951">
        <v>0</v>
      </c>
      <c r="N951">
        <v>0</v>
      </c>
      <c r="O951">
        <v>5.7142857142857144</v>
      </c>
      <c r="P951">
        <v>0</v>
      </c>
    </row>
    <row r="952" spans="1:16" x14ac:dyDescent="0.45">
      <c r="A952" t="s">
        <v>50</v>
      </c>
      <c r="B952" t="s">
        <v>27</v>
      </c>
      <c r="C952" t="s">
        <v>28</v>
      </c>
      <c r="D952" t="s">
        <v>49</v>
      </c>
      <c r="E952">
        <v>25</v>
      </c>
      <c r="F952">
        <v>40</v>
      </c>
      <c r="G952" t="s">
        <v>67</v>
      </c>
      <c r="H952" t="s">
        <v>37</v>
      </c>
      <c r="I952" s="24">
        <v>46093</v>
      </c>
      <c r="J952" t="s">
        <v>117</v>
      </c>
      <c r="K952" t="s">
        <v>117</v>
      </c>
      <c r="L952" t="s">
        <v>117</v>
      </c>
      <c r="M952">
        <v>7</v>
      </c>
      <c r="N952">
        <v>175</v>
      </c>
      <c r="O952">
        <v>5.7142857142857144</v>
      </c>
      <c r="P952">
        <v>0</v>
      </c>
    </row>
    <row r="953" spans="1:16" x14ac:dyDescent="0.45">
      <c r="A953" t="s">
        <v>51</v>
      </c>
      <c r="B953" t="s">
        <v>27</v>
      </c>
      <c r="C953" t="s">
        <v>28</v>
      </c>
      <c r="D953" t="s">
        <v>49</v>
      </c>
      <c r="E953">
        <v>25</v>
      </c>
      <c r="F953">
        <v>40</v>
      </c>
      <c r="G953" t="s">
        <v>67</v>
      </c>
      <c r="H953" t="s">
        <v>35</v>
      </c>
      <c r="I953" s="24">
        <v>46093</v>
      </c>
      <c r="J953" t="s">
        <v>117</v>
      </c>
      <c r="K953" t="s">
        <v>117</v>
      </c>
      <c r="L953" t="s">
        <v>117</v>
      </c>
      <c r="M953">
        <v>7</v>
      </c>
      <c r="N953">
        <v>175</v>
      </c>
      <c r="O953">
        <v>5.7142857142857144</v>
      </c>
      <c r="P953">
        <v>0</v>
      </c>
    </row>
    <row r="954" spans="1:16" x14ac:dyDescent="0.45">
      <c r="A954" t="s">
        <v>52</v>
      </c>
      <c r="B954" t="s">
        <v>26</v>
      </c>
      <c r="C954" t="s">
        <v>26</v>
      </c>
      <c r="D954" t="s">
        <v>49</v>
      </c>
      <c r="E954">
        <v>35</v>
      </c>
      <c r="F954">
        <v>40</v>
      </c>
      <c r="G954" t="s">
        <v>67</v>
      </c>
      <c r="H954" t="s">
        <v>41</v>
      </c>
      <c r="I954" s="24">
        <v>46093</v>
      </c>
      <c r="J954" t="s">
        <v>117</v>
      </c>
      <c r="K954" t="s">
        <v>117</v>
      </c>
      <c r="L954" t="s">
        <v>117</v>
      </c>
      <c r="M954">
        <v>0</v>
      </c>
      <c r="N954">
        <v>0</v>
      </c>
      <c r="O954">
        <v>5.7142857142857144</v>
      </c>
      <c r="P954">
        <v>0</v>
      </c>
    </row>
    <row r="955" spans="1:16" x14ac:dyDescent="0.45">
      <c r="A955" t="s">
        <v>53</v>
      </c>
      <c r="B955" t="s">
        <v>26</v>
      </c>
      <c r="C955" t="s">
        <v>26</v>
      </c>
      <c r="D955" t="s">
        <v>49</v>
      </c>
      <c r="E955">
        <v>35</v>
      </c>
      <c r="F955">
        <v>40</v>
      </c>
      <c r="G955" t="s">
        <v>67</v>
      </c>
      <c r="H955" t="s">
        <v>44</v>
      </c>
      <c r="I955" s="24">
        <v>46093</v>
      </c>
      <c r="J955" t="s">
        <v>117</v>
      </c>
      <c r="K955" t="s">
        <v>117</v>
      </c>
      <c r="L955" t="s">
        <v>117</v>
      </c>
      <c r="M955">
        <v>8</v>
      </c>
      <c r="N955">
        <v>280</v>
      </c>
      <c r="O955">
        <v>5.7142857142857144</v>
      </c>
      <c r="P955">
        <v>0</v>
      </c>
    </row>
    <row r="956" spans="1:16" x14ac:dyDescent="0.45">
      <c r="A956" t="s">
        <v>54</v>
      </c>
      <c r="B956" t="s">
        <v>25</v>
      </c>
      <c r="C956" t="s">
        <v>26</v>
      </c>
      <c r="D956" t="s">
        <v>49</v>
      </c>
      <c r="E956">
        <v>28</v>
      </c>
      <c r="F956">
        <v>40</v>
      </c>
      <c r="G956" t="s">
        <v>67</v>
      </c>
      <c r="H956" t="s">
        <v>42</v>
      </c>
      <c r="I956" s="24">
        <v>46093</v>
      </c>
      <c r="J956" t="s">
        <v>117</v>
      </c>
      <c r="K956" t="s">
        <v>117</v>
      </c>
      <c r="L956" t="s">
        <v>117</v>
      </c>
      <c r="M956">
        <v>8</v>
      </c>
      <c r="N956">
        <v>224</v>
      </c>
      <c r="O956">
        <v>5.7142857142857144</v>
      </c>
      <c r="P956">
        <v>0</v>
      </c>
    </row>
    <row r="957" spans="1:16" x14ac:dyDescent="0.45">
      <c r="A957" t="s">
        <v>55</v>
      </c>
      <c r="B957" t="s">
        <v>25</v>
      </c>
      <c r="C957" t="s">
        <v>26</v>
      </c>
      <c r="D957" t="s">
        <v>49</v>
      </c>
      <c r="E957">
        <v>28</v>
      </c>
      <c r="F957">
        <v>40</v>
      </c>
      <c r="G957" t="s">
        <v>67</v>
      </c>
      <c r="H957" t="s">
        <v>44</v>
      </c>
      <c r="I957" s="24">
        <v>46093</v>
      </c>
      <c r="J957" t="s">
        <v>117</v>
      </c>
      <c r="K957" t="s">
        <v>117</v>
      </c>
      <c r="L957" t="s">
        <v>117</v>
      </c>
      <c r="M957">
        <v>8</v>
      </c>
      <c r="N957">
        <v>224</v>
      </c>
      <c r="O957">
        <v>5.7142857142857144</v>
      </c>
      <c r="P957">
        <v>0</v>
      </c>
    </row>
    <row r="958" spans="1:16" x14ac:dyDescent="0.45">
      <c r="A958" t="s">
        <v>56</v>
      </c>
      <c r="B958" t="s">
        <v>29</v>
      </c>
      <c r="C958" t="s">
        <v>29</v>
      </c>
      <c r="D958" t="s">
        <v>49</v>
      </c>
      <c r="E958">
        <v>20</v>
      </c>
      <c r="F958">
        <v>40</v>
      </c>
      <c r="G958" t="s">
        <v>67</v>
      </c>
      <c r="H958" t="s">
        <v>41</v>
      </c>
      <c r="I958" s="24">
        <v>46093</v>
      </c>
      <c r="J958" t="s">
        <v>117</v>
      </c>
      <c r="K958" t="s">
        <v>117</v>
      </c>
      <c r="L958" t="s">
        <v>117</v>
      </c>
      <c r="M958">
        <v>0</v>
      </c>
      <c r="N958">
        <v>0</v>
      </c>
      <c r="O958">
        <v>5.7142857142857144</v>
      </c>
      <c r="P958">
        <v>0</v>
      </c>
    </row>
    <row r="959" spans="1:16" x14ac:dyDescent="0.45">
      <c r="A959" t="s">
        <v>57</v>
      </c>
      <c r="B959" t="s">
        <v>29</v>
      </c>
      <c r="C959" t="s">
        <v>29</v>
      </c>
      <c r="D959" t="s">
        <v>49</v>
      </c>
      <c r="E959">
        <v>20</v>
      </c>
      <c r="F959">
        <v>40</v>
      </c>
      <c r="G959" t="s">
        <v>67</v>
      </c>
      <c r="H959" t="s">
        <v>44</v>
      </c>
      <c r="I959" s="24">
        <v>46093</v>
      </c>
      <c r="J959" t="s">
        <v>117</v>
      </c>
      <c r="K959" t="s">
        <v>117</v>
      </c>
      <c r="L959" t="s">
        <v>117</v>
      </c>
      <c r="M959">
        <v>8</v>
      </c>
      <c r="N959">
        <v>160</v>
      </c>
      <c r="O959">
        <v>5.7142857142857144</v>
      </c>
      <c r="P959">
        <v>0</v>
      </c>
    </row>
    <row r="960" spans="1:16" x14ac:dyDescent="0.45">
      <c r="A960" t="s">
        <v>58</v>
      </c>
      <c r="B960" t="s">
        <v>29</v>
      </c>
      <c r="C960" t="s">
        <v>29</v>
      </c>
      <c r="D960" t="s">
        <v>49</v>
      </c>
      <c r="E960">
        <v>20</v>
      </c>
      <c r="F960">
        <v>40</v>
      </c>
      <c r="G960" t="s">
        <v>67</v>
      </c>
      <c r="H960" t="s">
        <v>44</v>
      </c>
      <c r="I960" s="24">
        <v>46093</v>
      </c>
      <c r="J960" t="s">
        <v>117</v>
      </c>
      <c r="K960" t="s">
        <v>117</v>
      </c>
      <c r="L960" t="s">
        <v>117</v>
      </c>
      <c r="M960">
        <v>8</v>
      </c>
      <c r="N960">
        <v>160</v>
      </c>
      <c r="O960">
        <v>5.7142857142857144</v>
      </c>
      <c r="P960">
        <v>0</v>
      </c>
    </row>
    <row r="961" spans="1:16" x14ac:dyDescent="0.45">
      <c r="A961" t="s">
        <v>59</v>
      </c>
      <c r="B961" t="s">
        <v>29</v>
      </c>
      <c r="C961" t="s">
        <v>29</v>
      </c>
      <c r="D961" t="s">
        <v>60</v>
      </c>
      <c r="E961">
        <v>15</v>
      </c>
      <c r="F961">
        <v>20</v>
      </c>
      <c r="G961" t="s">
        <v>67</v>
      </c>
      <c r="H961" t="s">
        <v>46</v>
      </c>
      <c r="I961" s="24">
        <v>46093</v>
      </c>
      <c r="J961" t="s">
        <v>117</v>
      </c>
      <c r="K961" t="s">
        <v>117</v>
      </c>
      <c r="L961" t="s">
        <v>117</v>
      </c>
      <c r="M961">
        <v>5</v>
      </c>
      <c r="N961">
        <v>75</v>
      </c>
      <c r="O961">
        <v>2.8571428571428572</v>
      </c>
      <c r="P961">
        <v>0</v>
      </c>
    </row>
    <row r="962" spans="1:16" x14ac:dyDescent="0.45">
      <c r="A962" t="s">
        <v>61</v>
      </c>
      <c r="B962" t="s">
        <v>29</v>
      </c>
      <c r="C962" t="s">
        <v>29</v>
      </c>
      <c r="D962" t="s">
        <v>60</v>
      </c>
      <c r="E962">
        <v>15</v>
      </c>
      <c r="F962">
        <v>20</v>
      </c>
      <c r="G962" t="s">
        <v>67</v>
      </c>
      <c r="H962" t="s">
        <v>41</v>
      </c>
      <c r="I962" s="24">
        <v>46093</v>
      </c>
      <c r="J962" t="s">
        <v>117</v>
      </c>
      <c r="K962" t="s">
        <v>117</v>
      </c>
      <c r="L962" t="s">
        <v>117</v>
      </c>
      <c r="M962">
        <v>0</v>
      </c>
      <c r="N962">
        <v>0</v>
      </c>
      <c r="O962">
        <v>2.8571428571428572</v>
      </c>
      <c r="P962">
        <v>0</v>
      </c>
    </row>
    <row r="963" spans="1:16" x14ac:dyDescent="0.45">
      <c r="A963" t="s">
        <v>62</v>
      </c>
      <c r="B963" t="s">
        <v>29</v>
      </c>
      <c r="C963" t="s">
        <v>29</v>
      </c>
      <c r="D963" t="s">
        <v>60</v>
      </c>
      <c r="E963">
        <v>15</v>
      </c>
      <c r="F963">
        <v>20</v>
      </c>
      <c r="G963" t="s">
        <v>67</v>
      </c>
      <c r="H963" t="s">
        <v>41</v>
      </c>
      <c r="I963" s="24">
        <v>46093</v>
      </c>
      <c r="J963" t="s">
        <v>117</v>
      </c>
      <c r="K963" t="s">
        <v>117</v>
      </c>
      <c r="L963" t="s">
        <v>117</v>
      </c>
      <c r="M963">
        <v>0</v>
      </c>
      <c r="N963">
        <v>0</v>
      </c>
      <c r="O963">
        <v>2.8571428571428572</v>
      </c>
      <c r="P963">
        <v>0</v>
      </c>
    </row>
    <row r="964" spans="1:16" x14ac:dyDescent="0.45">
      <c r="A964" t="s">
        <v>48</v>
      </c>
      <c r="B964" t="s">
        <v>30</v>
      </c>
      <c r="C964" t="s">
        <v>28</v>
      </c>
      <c r="D964" t="s">
        <v>49</v>
      </c>
      <c r="E964">
        <v>30</v>
      </c>
      <c r="F964">
        <v>40</v>
      </c>
      <c r="G964" t="s">
        <v>68</v>
      </c>
      <c r="H964" t="s">
        <v>35</v>
      </c>
      <c r="I964" s="24">
        <v>46094</v>
      </c>
      <c r="J964" t="s">
        <v>118</v>
      </c>
      <c r="K964" t="s">
        <v>117</v>
      </c>
      <c r="L964" t="s">
        <v>118</v>
      </c>
      <c r="M964">
        <v>7</v>
      </c>
      <c r="N964">
        <v>315</v>
      </c>
      <c r="O964">
        <v>5.7142857142857144</v>
      </c>
      <c r="P964">
        <v>1</v>
      </c>
    </row>
    <row r="965" spans="1:16" x14ac:dyDescent="0.45">
      <c r="A965" t="s">
        <v>50</v>
      </c>
      <c r="B965" t="s">
        <v>27</v>
      </c>
      <c r="C965" t="s">
        <v>28</v>
      </c>
      <c r="D965" t="s">
        <v>49</v>
      </c>
      <c r="E965">
        <v>25</v>
      </c>
      <c r="F965">
        <v>40</v>
      </c>
      <c r="G965" t="s">
        <v>68</v>
      </c>
      <c r="H965" t="s">
        <v>37</v>
      </c>
      <c r="I965" s="24">
        <v>46094</v>
      </c>
      <c r="J965" t="s">
        <v>118</v>
      </c>
      <c r="K965" t="s">
        <v>117</v>
      </c>
      <c r="L965" t="s">
        <v>118</v>
      </c>
      <c r="M965">
        <v>7</v>
      </c>
      <c r="N965">
        <v>262.5</v>
      </c>
      <c r="O965">
        <v>5.7142857142857144</v>
      </c>
      <c r="P965">
        <v>1</v>
      </c>
    </row>
    <row r="966" spans="1:16" x14ac:dyDescent="0.45">
      <c r="A966" t="s">
        <v>51</v>
      </c>
      <c r="B966" t="s">
        <v>27</v>
      </c>
      <c r="C966" t="s">
        <v>28</v>
      </c>
      <c r="D966" t="s">
        <v>49</v>
      </c>
      <c r="E966">
        <v>25</v>
      </c>
      <c r="F966">
        <v>40</v>
      </c>
      <c r="G966" t="s">
        <v>68</v>
      </c>
      <c r="H966" t="s">
        <v>35</v>
      </c>
      <c r="I966" s="24">
        <v>46094</v>
      </c>
      <c r="J966" t="s">
        <v>118</v>
      </c>
      <c r="K966" t="s">
        <v>117</v>
      </c>
      <c r="L966" t="s">
        <v>118</v>
      </c>
      <c r="M966">
        <v>7</v>
      </c>
      <c r="N966">
        <v>262.5</v>
      </c>
      <c r="O966">
        <v>5.7142857142857144</v>
      </c>
      <c r="P966">
        <v>1</v>
      </c>
    </row>
    <row r="967" spans="1:16" x14ac:dyDescent="0.45">
      <c r="A967" t="s">
        <v>52</v>
      </c>
      <c r="B967" t="s">
        <v>26</v>
      </c>
      <c r="C967" t="s">
        <v>26</v>
      </c>
      <c r="D967" t="s">
        <v>49</v>
      </c>
      <c r="E967">
        <v>35</v>
      </c>
      <c r="F967">
        <v>40</v>
      </c>
      <c r="G967" t="s">
        <v>68</v>
      </c>
      <c r="H967" t="s">
        <v>41</v>
      </c>
      <c r="I967" s="24">
        <v>46094</v>
      </c>
      <c r="J967" t="s">
        <v>118</v>
      </c>
      <c r="K967" t="s">
        <v>117</v>
      </c>
      <c r="L967" t="s">
        <v>118</v>
      </c>
      <c r="M967">
        <v>0</v>
      </c>
      <c r="N967">
        <v>0</v>
      </c>
      <c r="O967">
        <v>5.7142857142857144</v>
      </c>
      <c r="P967">
        <v>0</v>
      </c>
    </row>
    <row r="968" spans="1:16" x14ac:dyDescent="0.45">
      <c r="A968" t="s">
        <v>53</v>
      </c>
      <c r="B968" t="s">
        <v>26</v>
      </c>
      <c r="C968" t="s">
        <v>26</v>
      </c>
      <c r="D968" t="s">
        <v>49</v>
      </c>
      <c r="E968">
        <v>35</v>
      </c>
      <c r="F968">
        <v>40</v>
      </c>
      <c r="G968" t="s">
        <v>68</v>
      </c>
      <c r="H968" t="s">
        <v>41</v>
      </c>
      <c r="I968" s="24">
        <v>46094</v>
      </c>
      <c r="J968" t="s">
        <v>118</v>
      </c>
      <c r="K968" t="s">
        <v>117</v>
      </c>
      <c r="L968" t="s">
        <v>118</v>
      </c>
      <c r="M968">
        <v>0</v>
      </c>
      <c r="N968">
        <v>0</v>
      </c>
      <c r="O968">
        <v>5.7142857142857144</v>
      </c>
      <c r="P968">
        <v>0</v>
      </c>
    </row>
    <row r="969" spans="1:16" x14ac:dyDescent="0.45">
      <c r="A969" t="s">
        <v>54</v>
      </c>
      <c r="B969" t="s">
        <v>25</v>
      </c>
      <c r="C969" t="s">
        <v>26</v>
      </c>
      <c r="D969" t="s">
        <v>49</v>
      </c>
      <c r="E969">
        <v>28</v>
      </c>
      <c r="F969">
        <v>40</v>
      </c>
      <c r="G969" t="s">
        <v>68</v>
      </c>
      <c r="H969" t="s">
        <v>42</v>
      </c>
      <c r="I969" s="24">
        <v>46094</v>
      </c>
      <c r="J969" t="s">
        <v>118</v>
      </c>
      <c r="K969" t="s">
        <v>117</v>
      </c>
      <c r="L969" t="s">
        <v>118</v>
      </c>
      <c r="M969">
        <v>8</v>
      </c>
      <c r="N969">
        <v>336</v>
      </c>
      <c r="O969">
        <v>5.7142857142857144</v>
      </c>
      <c r="P969">
        <v>1</v>
      </c>
    </row>
    <row r="970" spans="1:16" x14ac:dyDescent="0.45">
      <c r="A970" t="s">
        <v>55</v>
      </c>
      <c r="B970" t="s">
        <v>25</v>
      </c>
      <c r="C970" t="s">
        <v>26</v>
      </c>
      <c r="D970" t="s">
        <v>49</v>
      </c>
      <c r="E970">
        <v>28</v>
      </c>
      <c r="F970">
        <v>40</v>
      </c>
      <c r="G970" t="s">
        <v>68</v>
      </c>
      <c r="H970" t="s">
        <v>44</v>
      </c>
      <c r="I970" s="24">
        <v>46094</v>
      </c>
      <c r="J970" t="s">
        <v>118</v>
      </c>
      <c r="K970" t="s">
        <v>117</v>
      </c>
      <c r="L970" t="s">
        <v>118</v>
      </c>
      <c r="M970">
        <v>8</v>
      </c>
      <c r="N970">
        <v>336</v>
      </c>
      <c r="O970">
        <v>5.7142857142857144</v>
      </c>
      <c r="P970">
        <v>1</v>
      </c>
    </row>
    <row r="971" spans="1:16" x14ac:dyDescent="0.45">
      <c r="A971" t="s">
        <v>56</v>
      </c>
      <c r="B971" t="s">
        <v>29</v>
      </c>
      <c r="C971" t="s">
        <v>29</v>
      </c>
      <c r="D971" t="s">
        <v>49</v>
      </c>
      <c r="E971">
        <v>20</v>
      </c>
      <c r="F971">
        <v>40</v>
      </c>
      <c r="G971" t="s">
        <v>68</v>
      </c>
      <c r="H971" t="s">
        <v>44</v>
      </c>
      <c r="I971" s="24">
        <v>46094</v>
      </c>
      <c r="J971" t="s">
        <v>118</v>
      </c>
      <c r="K971" t="s">
        <v>117</v>
      </c>
      <c r="L971" t="s">
        <v>118</v>
      </c>
      <c r="M971">
        <v>8</v>
      </c>
      <c r="N971">
        <v>240</v>
      </c>
      <c r="O971">
        <v>5.7142857142857144</v>
      </c>
      <c r="P971">
        <v>1</v>
      </c>
    </row>
    <row r="972" spans="1:16" x14ac:dyDescent="0.45">
      <c r="A972" t="s">
        <v>57</v>
      </c>
      <c r="B972" t="s">
        <v>29</v>
      </c>
      <c r="C972" t="s">
        <v>29</v>
      </c>
      <c r="D972" t="s">
        <v>49</v>
      </c>
      <c r="E972">
        <v>20</v>
      </c>
      <c r="F972">
        <v>40</v>
      </c>
      <c r="G972" t="s">
        <v>68</v>
      </c>
      <c r="H972" t="s">
        <v>41</v>
      </c>
      <c r="I972" s="24">
        <v>46094</v>
      </c>
      <c r="J972" t="s">
        <v>118</v>
      </c>
      <c r="K972" t="s">
        <v>117</v>
      </c>
      <c r="L972" t="s">
        <v>118</v>
      </c>
      <c r="M972">
        <v>0</v>
      </c>
      <c r="N972">
        <v>0</v>
      </c>
      <c r="O972">
        <v>5.7142857142857144</v>
      </c>
      <c r="P972">
        <v>0</v>
      </c>
    </row>
    <row r="973" spans="1:16" x14ac:dyDescent="0.45">
      <c r="A973" t="s">
        <v>58</v>
      </c>
      <c r="B973" t="s">
        <v>29</v>
      </c>
      <c r="C973" t="s">
        <v>29</v>
      </c>
      <c r="D973" t="s">
        <v>49</v>
      </c>
      <c r="E973">
        <v>20</v>
      </c>
      <c r="F973">
        <v>40</v>
      </c>
      <c r="G973" t="s">
        <v>68</v>
      </c>
      <c r="H973" t="s">
        <v>46</v>
      </c>
      <c r="I973" s="24">
        <v>46094</v>
      </c>
      <c r="J973" t="s">
        <v>118</v>
      </c>
      <c r="K973" t="s">
        <v>117</v>
      </c>
      <c r="L973" t="s">
        <v>118</v>
      </c>
      <c r="M973">
        <v>5</v>
      </c>
      <c r="N973">
        <v>150</v>
      </c>
      <c r="O973">
        <v>5.7142857142857144</v>
      </c>
      <c r="P973">
        <v>1</v>
      </c>
    </row>
    <row r="974" spans="1:16" x14ac:dyDescent="0.45">
      <c r="A974" t="s">
        <v>59</v>
      </c>
      <c r="B974" t="s">
        <v>29</v>
      </c>
      <c r="C974" t="s">
        <v>29</v>
      </c>
      <c r="D974" t="s">
        <v>60</v>
      </c>
      <c r="E974">
        <v>15</v>
      </c>
      <c r="F974">
        <v>20</v>
      </c>
      <c r="G974" t="s">
        <v>68</v>
      </c>
      <c r="H974" t="s">
        <v>46</v>
      </c>
      <c r="I974" s="24">
        <v>46094</v>
      </c>
      <c r="J974" t="s">
        <v>118</v>
      </c>
      <c r="K974" t="s">
        <v>117</v>
      </c>
      <c r="L974" t="s">
        <v>118</v>
      </c>
      <c r="M974">
        <v>5</v>
      </c>
      <c r="N974">
        <v>112.5</v>
      </c>
      <c r="O974">
        <v>2.8571428571428572</v>
      </c>
      <c r="P974">
        <v>1</v>
      </c>
    </row>
    <row r="975" spans="1:16" x14ac:dyDescent="0.45">
      <c r="A975" t="s">
        <v>61</v>
      </c>
      <c r="B975" t="s">
        <v>29</v>
      </c>
      <c r="C975" t="s">
        <v>29</v>
      </c>
      <c r="D975" t="s">
        <v>60</v>
      </c>
      <c r="E975">
        <v>15</v>
      </c>
      <c r="F975">
        <v>20</v>
      </c>
      <c r="G975" t="s">
        <v>68</v>
      </c>
      <c r="H975" t="s">
        <v>46</v>
      </c>
      <c r="I975" s="24">
        <v>46094</v>
      </c>
      <c r="J975" t="s">
        <v>118</v>
      </c>
      <c r="K975" t="s">
        <v>117</v>
      </c>
      <c r="L975" t="s">
        <v>118</v>
      </c>
      <c r="M975">
        <v>5</v>
      </c>
      <c r="N975">
        <v>112.5</v>
      </c>
      <c r="O975">
        <v>2.8571428571428572</v>
      </c>
      <c r="P975">
        <v>1</v>
      </c>
    </row>
    <row r="976" spans="1:16" x14ac:dyDescent="0.45">
      <c r="A976" t="s">
        <v>62</v>
      </c>
      <c r="B976" t="s">
        <v>29</v>
      </c>
      <c r="C976" t="s">
        <v>29</v>
      </c>
      <c r="D976" t="s">
        <v>60</v>
      </c>
      <c r="E976">
        <v>15</v>
      </c>
      <c r="F976">
        <v>20</v>
      </c>
      <c r="G976" t="s">
        <v>68</v>
      </c>
      <c r="H976" t="s">
        <v>45</v>
      </c>
      <c r="I976" s="24">
        <v>46094</v>
      </c>
      <c r="J976" t="s">
        <v>118</v>
      </c>
      <c r="K976" t="s">
        <v>117</v>
      </c>
      <c r="L976" t="s">
        <v>118</v>
      </c>
      <c r="M976">
        <v>8</v>
      </c>
      <c r="N976">
        <v>180</v>
      </c>
      <c r="O976">
        <v>2.8571428571428572</v>
      </c>
      <c r="P976">
        <v>1</v>
      </c>
    </row>
    <row r="977" spans="1:16" x14ac:dyDescent="0.45">
      <c r="A977" t="s">
        <v>48</v>
      </c>
      <c r="B977" t="s">
        <v>30</v>
      </c>
      <c r="C977" t="s">
        <v>28</v>
      </c>
      <c r="D977" t="s">
        <v>49</v>
      </c>
      <c r="E977">
        <v>30</v>
      </c>
      <c r="F977">
        <v>40</v>
      </c>
      <c r="G977" t="s">
        <v>69</v>
      </c>
      <c r="H977" t="s">
        <v>37</v>
      </c>
      <c r="I977" s="24">
        <v>46095</v>
      </c>
      <c r="J977" t="s">
        <v>118</v>
      </c>
      <c r="K977" t="s">
        <v>117</v>
      </c>
      <c r="L977" t="s">
        <v>118</v>
      </c>
      <c r="M977">
        <v>7</v>
      </c>
      <c r="N977">
        <v>315</v>
      </c>
      <c r="O977">
        <v>5.7142857142857144</v>
      </c>
      <c r="P977">
        <v>1</v>
      </c>
    </row>
    <row r="978" spans="1:16" x14ac:dyDescent="0.45">
      <c r="A978" t="s">
        <v>50</v>
      </c>
      <c r="B978" t="s">
        <v>27</v>
      </c>
      <c r="C978" t="s">
        <v>28</v>
      </c>
      <c r="D978" t="s">
        <v>49</v>
      </c>
      <c r="E978">
        <v>25</v>
      </c>
      <c r="F978">
        <v>40</v>
      </c>
      <c r="G978" t="s">
        <v>69</v>
      </c>
      <c r="H978" t="s">
        <v>40</v>
      </c>
      <c r="I978" s="24">
        <v>46095</v>
      </c>
      <c r="J978" t="s">
        <v>118</v>
      </c>
      <c r="K978" t="s">
        <v>117</v>
      </c>
      <c r="L978" t="s">
        <v>118</v>
      </c>
      <c r="M978">
        <v>5</v>
      </c>
      <c r="N978">
        <v>187.5</v>
      </c>
      <c r="O978">
        <v>5.7142857142857144</v>
      </c>
      <c r="P978">
        <v>1</v>
      </c>
    </row>
    <row r="979" spans="1:16" x14ac:dyDescent="0.45">
      <c r="A979" t="s">
        <v>51</v>
      </c>
      <c r="B979" t="s">
        <v>27</v>
      </c>
      <c r="C979" t="s">
        <v>28</v>
      </c>
      <c r="D979" t="s">
        <v>49</v>
      </c>
      <c r="E979">
        <v>25</v>
      </c>
      <c r="F979">
        <v>40</v>
      </c>
      <c r="G979" t="s">
        <v>69</v>
      </c>
      <c r="H979" t="s">
        <v>35</v>
      </c>
      <c r="I979" s="24">
        <v>46095</v>
      </c>
      <c r="J979" t="s">
        <v>118</v>
      </c>
      <c r="K979" t="s">
        <v>117</v>
      </c>
      <c r="L979" t="s">
        <v>118</v>
      </c>
      <c r="M979">
        <v>7</v>
      </c>
      <c r="N979">
        <v>262.5</v>
      </c>
      <c r="O979">
        <v>5.7142857142857144</v>
      </c>
      <c r="P979">
        <v>1</v>
      </c>
    </row>
    <row r="980" spans="1:16" x14ac:dyDescent="0.45">
      <c r="A980" t="s">
        <v>52</v>
      </c>
      <c r="B980" t="s">
        <v>26</v>
      </c>
      <c r="C980" t="s">
        <v>26</v>
      </c>
      <c r="D980" t="s">
        <v>49</v>
      </c>
      <c r="E980">
        <v>35</v>
      </c>
      <c r="F980">
        <v>40</v>
      </c>
      <c r="G980" t="s">
        <v>69</v>
      </c>
      <c r="H980" t="s">
        <v>41</v>
      </c>
      <c r="I980" s="24">
        <v>46095</v>
      </c>
      <c r="J980" t="s">
        <v>118</v>
      </c>
      <c r="K980" t="s">
        <v>117</v>
      </c>
      <c r="L980" t="s">
        <v>118</v>
      </c>
      <c r="M980">
        <v>0</v>
      </c>
      <c r="N980">
        <v>0</v>
      </c>
      <c r="O980">
        <v>5.7142857142857144</v>
      </c>
      <c r="P980">
        <v>0</v>
      </c>
    </row>
    <row r="981" spans="1:16" x14ac:dyDescent="0.45">
      <c r="A981" t="s">
        <v>53</v>
      </c>
      <c r="B981" t="s">
        <v>26</v>
      </c>
      <c r="C981" t="s">
        <v>26</v>
      </c>
      <c r="D981" t="s">
        <v>49</v>
      </c>
      <c r="E981">
        <v>35</v>
      </c>
      <c r="F981">
        <v>40</v>
      </c>
      <c r="G981" t="s">
        <v>69</v>
      </c>
      <c r="H981" t="s">
        <v>42</v>
      </c>
      <c r="I981" s="24">
        <v>46095</v>
      </c>
      <c r="J981" t="s">
        <v>118</v>
      </c>
      <c r="K981" t="s">
        <v>117</v>
      </c>
      <c r="L981" t="s">
        <v>118</v>
      </c>
      <c r="M981">
        <v>8</v>
      </c>
      <c r="N981">
        <v>420</v>
      </c>
      <c r="O981">
        <v>5.7142857142857144</v>
      </c>
      <c r="P981">
        <v>1</v>
      </c>
    </row>
    <row r="982" spans="1:16" x14ac:dyDescent="0.45">
      <c r="A982" t="s">
        <v>54</v>
      </c>
      <c r="B982" t="s">
        <v>25</v>
      </c>
      <c r="C982" t="s">
        <v>26</v>
      </c>
      <c r="D982" t="s">
        <v>49</v>
      </c>
      <c r="E982">
        <v>28</v>
      </c>
      <c r="F982">
        <v>40</v>
      </c>
      <c r="G982" t="s">
        <v>69</v>
      </c>
      <c r="H982" t="s">
        <v>44</v>
      </c>
      <c r="I982" s="24">
        <v>46095</v>
      </c>
      <c r="J982" t="s">
        <v>118</v>
      </c>
      <c r="K982" t="s">
        <v>117</v>
      </c>
      <c r="L982" t="s">
        <v>118</v>
      </c>
      <c r="M982">
        <v>8</v>
      </c>
      <c r="N982">
        <v>336</v>
      </c>
      <c r="O982">
        <v>5.7142857142857144</v>
      </c>
      <c r="P982">
        <v>1</v>
      </c>
    </row>
    <row r="983" spans="1:16" x14ac:dyDescent="0.45">
      <c r="A983" t="s">
        <v>55</v>
      </c>
      <c r="B983" t="s">
        <v>25</v>
      </c>
      <c r="C983" t="s">
        <v>26</v>
      </c>
      <c r="D983" t="s">
        <v>49</v>
      </c>
      <c r="E983">
        <v>28</v>
      </c>
      <c r="F983">
        <v>40</v>
      </c>
      <c r="G983" t="s">
        <v>69</v>
      </c>
      <c r="H983" t="s">
        <v>41</v>
      </c>
      <c r="I983" s="24">
        <v>46095</v>
      </c>
      <c r="J983" t="s">
        <v>118</v>
      </c>
      <c r="K983" t="s">
        <v>117</v>
      </c>
      <c r="L983" t="s">
        <v>118</v>
      </c>
      <c r="M983">
        <v>0</v>
      </c>
      <c r="N983">
        <v>0</v>
      </c>
      <c r="O983">
        <v>5.7142857142857144</v>
      </c>
      <c r="P983">
        <v>0</v>
      </c>
    </row>
    <row r="984" spans="1:16" x14ac:dyDescent="0.45">
      <c r="A984" t="s">
        <v>56</v>
      </c>
      <c r="B984" t="s">
        <v>29</v>
      </c>
      <c r="C984" t="s">
        <v>29</v>
      </c>
      <c r="D984" t="s">
        <v>49</v>
      </c>
      <c r="E984">
        <v>20</v>
      </c>
      <c r="F984">
        <v>40</v>
      </c>
      <c r="G984" t="s">
        <v>69</v>
      </c>
      <c r="H984" t="s">
        <v>45</v>
      </c>
      <c r="I984" s="24">
        <v>46095</v>
      </c>
      <c r="J984" t="s">
        <v>118</v>
      </c>
      <c r="K984" t="s">
        <v>117</v>
      </c>
      <c r="L984" t="s">
        <v>118</v>
      </c>
      <c r="M984">
        <v>8</v>
      </c>
      <c r="N984">
        <v>240</v>
      </c>
      <c r="O984">
        <v>5.7142857142857144</v>
      </c>
      <c r="P984">
        <v>1</v>
      </c>
    </row>
    <row r="985" spans="1:16" x14ac:dyDescent="0.45">
      <c r="A985" t="s">
        <v>57</v>
      </c>
      <c r="B985" t="s">
        <v>29</v>
      </c>
      <c r="C985" t="s">
        <v>29</v>
      </c>
      <c r="D985" t="s">
        <v>49</v>
      </c>
      <c r="E985">
        <v>20</v>
      </c>
      <c r="F985">
        <v>40</v>
      </c>
      <c r="G985" t="s">
        <v>69</v>
      </c>
      <c r="H985" t="s">
        <v>41</v>
      </c>
      <c r="I985" s="24">
        <v>46095</v>
      </c>
      <c r="J985" t="s">
        <v>118</v>
      </c>
      <c r="K985" t="s">
        <v>117</v>
      </c>
      <c r="L985" t="s">
        <v>118</v>
      </c>
      <c r="M985">
        <v>0</v>
      </c>
      <c r="N985">
        <v>0</v>
      </c>
      <c r="O985">
        <v>5.7142857142857144</v>
      </c>
      <c r="P985">
        <v>0</v>
      </c>
    </row>
    <row r="986" spans="1:16" x14ac:dyDescent="0.45">
      <c r="A986" t="s">
        <v>58</v>
      </c>
      <c r="B986" t="s">
        <v>29</v>
      </c>
      <c r="C986" t="s">
        <v>29</v>
      </c>
      <c r="D986" t="s">
        <v>49</v>
      </c>
      <c r="E986">
        <v>20</v>
      </c>
      <c r="F986">
        <v>40</v>
      </c>
      <c r="G986" t="s">
        <v>69</v>
      </c>
      <c r="H986" t="s">
        <v>44</v>
      </c>
      <c r="I986" s="24">
        <v>46095</v>
      </c>
      <c r="J986" t="s">
        <v>118</v>
      </c>
      <c r="K986" t="s">
        <v>117</v>
      </c>
      <c r="L986" t="s">
        <v>118</v>
      </c>
      <c r="M986">
        <v>8</v>
      </c>
      <c r="N986">
        <v>240</v>
      </c>
      <c r="O986">
        <v>5.7142857142857144</v>
      </c>
      <c r="P986">
        <v>1</v>
      </c>
    </row>
    <row r="987" spans="1:16" x14ac:dyDescent="0.45">
      <c r="A987" t="s">
        <v>59</v>
      </c>
      <c r="B987" t="s">
        <v>29</v>
      </c>
      <c r="C987" t="s">
        <v>29</v>
      </c>
      <c r="D987" t="s">
        <v>60</v>
      </c>
      <c r="E987">
        <v>15</v>
      </c>
      <c r="F987">
        <v>20</v>
      </c>
      <c r="G987" t="s">
        <v>69</v>
      </c>
      <c r="H987" t="s">
        <v>41</v>
      </c>
      <c r="I987" s="24">
        <v>46095</v>
      </c>
      <c r="J987" t="s">
        <v>118</v>
      </c>
      <c r="K987" t="s">
        <v>117</v>
      </c>
      <c r="L987" t="s">
        <v>118</v>
      </c>
      <c r="M987">
        <v>0</v>
      </c>
      <c r="N987">
        <v>0</v>
      </c>
      <c r="O987">
        <v>2.8571428571428572</v>
      </c>
      <c r="P987">
        <v>0</v>
      </c>
    </row>
    <row r="988" spans="1:16" x14ac:dyDescent="0.45">
      <c r="A988" t="s">
        <v>61</v>
      </c>
      <c r="B988" t="s">
        <v>29</v>
      </c>
      <c r="C988" t="s">
        <v>29</v>
      </c>
      <c r="D988" t="s">
        <v>60</v>
      </c>
      <c r="E988">
        <v>15</v>
      </c>
      <c r="F988">
        <v>20</v>
      </c>
      <c r="G988" t="s">
        <v>69</v>
      </c>
      <c r="H988" t="s">
        <v>41</v>
      </c>
      <c r="I988" s="24">
        <v>46095</v>
      </c>
      <c r="J988" t="s">
        <v>118</v>
      </c>
      <c r="K988" t="s">
        <v>117</v>
      </c>
      <c r="L988" t="s">
        <v>118</v>
      </c>
      <c r="M988">
        <v>0</v>
      </c>
      <c r="N988">
        <v>0</v>
      </c>
      <c r="O988">
        <v>2.8571428571428572</v>
      </c>
      <c r="P988">
        <v>0</v>
      </c>
    </row>
    <row r="989" spans="1:16" x14ac:dyDescent="0.45">
      <c r="A989" t="s">
        <v>62</v>
      </c>
      <c r="B989" t="s">
        <v>29</v>
      </c>
      <c r="C989" t="s">
        <v>29</v>
      </c>
      <c r="D989" t="s">
        <v>60</v>
      </c>
      <c r="E989">
        <v>15</v>
      </c>
      <c r="F989">
        <v>20</v>
      </c>
      <c r="G989" t="s">
        <v>69</v>
      </c>
      <c r="H989" t="s">
        <v>40</v>
      </c>
      <c r="I989" s="24">
        <v>46095</v>
      </c>
      <c r="J989" t="s">
        <v>118</v>
      </c>
      <c r="K989" t="s">
        <v>117</v>
      </c>
      <c r="L989" t="s">
        <v>118</v>
      </c>
      <c r="M989">
        <v>5</v>
      </c>
      <c r="N989">
        <v>112.5</v>
      </c>
      <c r="O989">
        <v>2.8571428571428572</v>
      </c>
      <c r="P989">
        <v>1</v>
      </c>
    </row>
    <row r="990" spans="1:16" x14ac:dyDescent="0.45">
      <c r="A990" t="s">
        <v>48</v>
      </c>
      <c r="B990" t="s">
        <v>30</v>
      </c>
      <c r="C990" t="s">
        <v>28</v>
      </c>
      <c r="D990" t="s">
        <v>49</v>
      </c>
      <c r="E990">
        <v>30</v>
      </c>
      <c r="F990">
        <v>40</v>
      </c>
      <c r="G990" t="s">
        <v>70</v>
      </c>
      <c r="H990" t="s">
        <v>41</v>
      </c>
      <c r="I990" s="24">
        <v>46096</v>
      </c>
      <c r="J990" t="s">
        <v>117</v>
      </c>
      <c r="K990" t="s">
        <v>117</v>
      </c>
      <c r="L990" t="s">
        <v>117</v>
      </c>
      <c r="M990">
        <v>0</v>
      </c>
      <c r="N990">
        <v>0</v>
      </c>
      <c r="O990">
        <v>5.7142857142857144</v>
      </c>
      <c r="P990">
        <v>0</v>
      </c>
    </row>
    <row r="991" spans="1:16" x14ac:dyDescent="0.45">
      <c r="A991" t="s">
        <v>50</v>
      </c>
      <c r="B991" t="s">
        <v>27</v>
      </c>
      <c r="C991" t="s">
        <v>28</v>
      </c>
      <c r="D991" t="s">
        <v>49</v>
      </c>
      <c r="E991">
        <v>25</v>
      </c>
      <c r="F991">
        <v>40</v>
      </c>
      <c r="G991" t="s">
        <v>70</v>
      </c>
      <c r="H991" t="s">
        <v>37</v>
      </c>
      <c r="I991" s="24">
        <v>46096</v>
      </c>
      <c r="J991" t="s">
        <v>117</v>
      </c>
      <c r="K991" t="s">
        <v>117</v>
      </c>
      <c r="L991" t="s">
        <v>117</v>
      </c>
      <c r="M991">
        <v>7</v>
      </c>
      <c r="N991">
        <v>175</v>
      </c>
      <c r="O991">
        <v>5.7142857142857144</v>
      </c>
      <c r="P991">
        <v>0</v>
      </c>
    </row>
    <row r="992" spans="1:16" x14ac:dyDescent="0.45">
      <c r="A992" t="s">
        <v>51</v>
      </c>
      <c r="B992" t="s">
        <v>27</v>
      </c>
      <c r="C992" t="s">
        <v>28</v>
      </c>
      <c r="D992" t="s">
        <v>49</v>
      </c>
      <c r="E992">
        <v>25</v>
      </c>
      <c r="F992">
        <v>40</v>
      </c>
      <c r="G992" t="s">
        <v>70</v>
      </c>
      <c r="H992" t="s">
        <v>35</v>
      </c>
      <c r="I992" s="24">
        <v>46096</v>
      </c>
      <c r="J992" t="s">
        <v>117</v>
      </c>
      <c r="K992" t="s">
        <v>117</v>
      </c>
      <c r="L992" t="s">
        <v>117</v>
      </c>
      <c r="M992">
        <v>7</v>
      </c>
      <c r="N992">
        <v>175</v>
      </c>
      <c r="O992">
        <v>5.7142857142857144</v>
      </c>
      <c r="P992">
        <v>0</v>
      </c>
    </row>
    <row r="993" spans="1:16" x14ac:dyDescent="0.45">
      <c r="A993" t="s">
        <v>52</v>
      </c>
      <c r="B993" t="s">
        <v>26</v>
      </c>
      <c r="C993" t="s">
        <v>26</v>
      </c>
      <c r="D993" t="s">
        <v>49</v>
      </c>
      <c r="E993">
        <v>35</v>
      </c>
      <c r="F993">
        <v>40</v>
      </c>
      <c r="G993" t="s">
        <v>70</v>
      </c>
      <c r="H993" t="s">
        <v>41</v>
      </c>
      <c r="I993" s="24">
        <v>46096</v>
      </c>
      <c r="J993" t="s">
        <v>117</v>
      </c>
      <c r="K993" t="s">
        <v>117</v>
      </c>
      <c r="L993" t="s">
        <v>117</v>
      </c>
      <c r="M993">
        <v>0</v>
      </c>
      <c r="N993">
        <v>0</v>
      </c>
      <c r="O993">
        <v>5.7142857142857144</v>
      </c>
      <c r="P993">
        <v>0</v>
      </c>
    </row>
    <row r="994" spans="1:16" x14ac:dyDescent="0.45">
      <c r="A994" t="s">
        <v>53</v>
      </c>
      <c r="B994" t="s">
        <v>26</v>
      </c>
      <c r="C994" t="s">
        <v>26</v>
      </c>
      <c r="D994" t="s">
        <v>49</v>
      </c>
      <c r="E994">
        <v>35</v>
      </c>
      <c r="F994">
        <v>40</v>
      </c>
      <c r="G994" t="s">
        <v>70</v>
      </c>
      <c r="H994" t="s">
        <v>42</v>
      </c>
      <c r="I994" s="24">
        <v>46096</v>
      </c>
      <c r="J994" t="s">
        <v>117</v>
      </c>
      <c r="K994" t="s">
        <v>117</v>
      </c>
      <c r="L994" t="s">
        <v>117</v>
      </c>
      <c r="M994">
        <v>8</v>
      </c>
      <c r="N994">
        <v>280</v>
      </c>
      <c r="O994">
        <v>5.7142857142857144</v>
      </c>
      <c r="P994">
        <v>0</v>
      </c>
    </row>
    <row r="995" spans="1:16" x14ac:dyDescent="0.45">
      <c r="A995" t="s">
        <v>54</v>
      </c>
      <c r="B995" t="s">
        <v>25</v>
      </c>
      <c r="C995" t="s">
        <v>26</v>
      </c>
      <c r="D995" t="s">
        <v>49</v>
      </c>
      <c r="E995">
        <v>28</v>
      </c>
      <c r="F995">
        <v>40</v>
      </c>
      <c r="G995" t="s">
        <v>70</v>
      </c>
      <c r="H995" t="s">
        <v>44</v>
      </c>
      <c r="I995" s="24">
        <v>46096</v>
      </c>
      <c r="J995" t="s">
        <v>117</v>
      </c>
      <c r="K995" t="s">
        <v>117</v>
      </c>
      <c r="L995" t="s">
        <v>117</v>
      </c>
      <c r="M995">
        <v>8</v>
      </c>
      <c r="N995">
        <v>224</v>
      </c>
      <c r="O995">
        <v>5.7142857142857144</v>
      </c>
      <c r="P995">
        <v>0</v>
      </c>
    </row>
    <row r="996" spans="1:16" x14ac:dyDescent="0.45">
      <c r="A996" t="s">
        <v>55</v>
      </c>
      <c r="B996" t="s">
        <v>25</v>
      </c>
      <c r="C996" t="s">
        <v>26</v>
      </c>
      <c r="D996" t="s">
        <v>49</v>
      </c>
      <c r="E996">
        <v>28</v>
      </c>
      <c r="F996">
        <v>40</v>
      </c>
      <c r="G996" t="s">
        <v>70</v>
      </c>
      <c r="H996" t="s">
        <v>41</v>
      </c>
      <c r="I996" s="24">
        <v>46096</v>
      </c>
      <c r="J996" t="s">
        <v>117</v>
      </c>
      <c r="K996" t="s">
        <v>117</v>
      </c>
      <c r="L996" t="s">
        <v>117</v>
      </c>
      <c r="M996">
        <v>0</v>
      </c>
      <c r="N996">
        <v>0</v>
      </c>
      <c r="O996">
        <v>5.7142857142857144</v>
      </c>
      <c r="P996">
        <v>0</v>
      </c>
    </row>
    <row r="997" spans="1:16" x14ac:dyDescent="0.45">
      <c r="A997" t="s">
        <v>56</v>
      </c>
      <c r="B997" t="s">
        <v>29</v>
      </c>
      <c r="C997" t="s">
        <v>29</v>
      </c>
      <c r="D997" t="s">
        <v>49</v>
      </c>
      <c r="E997">
        <v>20</v>
      </c>
      <c r="F997">
        <v>40</v>
      </c>
      <c r="G997" t="s">
        <v>70</v>
      </c>
      <c r="H997" t="s">
        <v>45</v>
      </c>
      <c r="I997" s="24">
        <v>46096</v>
      </c>
      <c r="J997" t="s">
        <v>117</v>
      </c>
      <c r="K997" t="s">
        <v>117</v>
      </c>
      <c r="L997" t="s">
        <v>117</v>
      </c>
      <c r="M997">
        <v>8</v>
      </c>
      <c r="N997">
        <v>160</v>
      </c>
      <c r="O997">
        <v>5.7142857142857144</v>
      </c>
      <c r="P997">
        <v>0</v>
      </c>
    </row>
    <row r="998" spans="1:16" x14ac:dyDescent="0.45">
      <c r="A998" t="s">
        <v>57</v>
      </c>
      <c r="B998" t="s">
        <v>29</v>
      </c>
      <c r="C998" t="s">
        <v>29</v>
      </c>
      <c r="D998" t="s">
        <v>49</v>
      </c>
      <c r="E998">
        <v>20</v>
      </c>
      <c r="F998">
        <v>40</v>
      </c>
      <c r="G998" t="s">
        <v>70</v>
      </c>
      <c r="H998" t="s">
        <v>41</v>
      </c>
      <c r="I998" s="24">
        <v>46096</v>
      </c>
      <c r="J998" t="s">
        <v>117</v>
      </c>
      <c r="K998" t="s">
        <v>117</v>
      </c>
      <c r="L998" t="s">
        <v>117</v>
      </c>
      <c r="M998">
        <v>0</v>
      </c>
      <c r="N998">
        <v>0</v>
      </c>
      <c r="O998">
        <v>5.7142857142857144</v>
      </c>
      <c r="P998">
        <v>0</v>
      </c>
    </row>
    <row r="999" spans="1:16" x14ac:dyDescent="0.45">
      <c r="A999" t="s">
        <v>58</v>
      </c>
      <c r="B999" t="s">
        <v>29</v>
      </c>
      <c r="C999" t="s">
        <v>29</v>
      </c>
      <c r="D999" t="s">
        <v>49</v>
      </c>
      <c r="E999">
        <v>20</v>
      </c>
      <c r="F999">
        <v>40</v>
      </c>
      <c r="G999" t="s">
        <v>70</v>
      </c>
      <c r="H999" t="s">
        <v>44</v>
      </c>
      <c r="I999" s="24">
        <v>46096</v>
      </c>
      <c r="J999" t="s">
        <v>117</v>
      </c>
      <c r="K999" t="s">
        <v>117</v>
      </c>
      <c r="L999" t="s">
        <v>117</v>
      </c>
      <c r="M999">
        <v>8</v>
      </c>
      <c r="N999">
        <v>160</v>
      </c>
      <c r="O999">
        <v>5.7142857142857144</v>
      </c>
      <c r="P999">
        <v>0</v>
      </c>
    </row>
    <row r="1000" spans="1:16" x14ac:dyDescent="0.45">
      <c r="A1000" t="s">
        <v>59</v>
      </c>
      <c r="B1000" t="s">
        <v>29</v>
      </c>
      <c r="C1000" t="s">
        <v>29</v>
      </c>
      <c r="D1000" t="s">
        <v>60</v>
      </c>
      <c r="E1000">
        <v>15</v>
      </c>
      <c r="F1000">
        <v>20</v>
      </c>
      <c r="G1000" t="s">
        <v>70</v>
      </c>
      <c r="H1000" t="s">
        <v>41</v>
      </c>
      <c r="I1000" s="24">
        <v>46096</v>
      </c>
      <c r="J1000" t="s">
        <v>117</v>
      </c>
      <c r="K1000" t="s">
        <v>117</v>
      </c>
      <c r="L1000" t="s">
        <v>117</v>
      </c>
      <c r="M1000">
        <v>0</v>
      </c>
      <c r="N1000">
        <v>0</v>
      </c>
      <c r="O1000">
        <v>2.8571428571428572</v>
      </c>
      <c r="P1000">
        <v>0</v>
      </c>
    </row>
    <row r="1001" spans="1:16" x14ac:dyDescent="0.45">
      <c r="A1001" t="s">
        <v>61</v>
      </c>
      <c r="B1001" t="s">
        <v>29</v>
      </c>
      <c r="C1001" t="s">
        <v>29</v>
      </c>
      <c r="D1001" t="s">
        <v>60</v>
      </c>
      <c r="E1001">
        <v>15</v>
      </c>
      <c r="F1001">
        <v>20</v>
      </c>
      <c r="G1001" t="s">
        <v>70</v>
      </c>
      <c r="H1001" t="s">
        <v>41</v>
      </c>
      <c r="I1001" s="24">
        <v>46096</v>
      </c>
      <c r="J1001" t="s">
        <v>117</v>
      </c>
      <c r="K1001" t="s">
        <v>117</v>
      </c>
      <c r="L1001" t="s">
        <v>117</v>
      </c>
      <c r="M1001">
        <v>0</v>
      </c>
      <c r="N1001">
        <v>0</v>
      </c>
      <c r="O1001">
        <v>2.8571428571428572</v>
      </c>
      <c r="P1001">
        <v>0</v>
      </c>
    </row>
    <row r="1002" spans="1:16" x14ac:dyDescent="0.45">
      <c r="A1002" t="s">
        <v>62</v>
      </c>
      <c r="B1002" t="s">
        <v>29</v>
      </c>
      <c r="C1002" t="s">
        <v>29</v>
      </c>
      <c r="D1002" t="s">
        <v>60</v>
      </c>
      <c r="E1002">
        <v>15</v>
      </c>
      <c r="F1002">
        <v>20</v>
      </c>
      <c r="G1002" t="s">
        <v>70</v>
      </c>
      <c r="H1002" t="s">
        <v>46</v>
      </c>
      <c r="I1002" s="24">
        <v>46096</v>
      </c>
      <c r="J1002" t="s">
        <v>117</v>
      </c>
      <c r="K1002" t="s">
        <v>117</v>
      </c>
      <c r="L1002" t="s">
        <v>117</v>
      </c>
      <c r="M1002">
        <v>5</v>
      </c>
      <c r="N1002">
        <v>75</v>
      </c>
      <c r="O1002">
        <v>2.8571428571428572</v>
      </c>
      <c r="P1002">
        <v>0</v>
      </c>
    </row>
    <row r="1003" spans="1:16" x14ac:dyDescent="0.45">
      <c r="A1003" t="s">
        <v>48</v>
      </c>
      <c r="B1003" t="s">
        <v>30</v>
      </c>
      <c r="C1003" t="s">
        <v>28</v>
      </c>
      <c r="D1003" t="s">
        <v>49</v>
      </c>
      <c r="E1003">
        <v>30</v>
      </c>
      <c r="F1003">
        <v>40</v>
      </c>
      <c r="G1003" t="s">
        <v>64</v>
      </c>
      <c r="H1003" t="s">
        <v>35</v>
      </c>
      <c r="I1003" s="24">
        <v>46097</v>
      </c>
      <c r="J1003" t="s">
        <v>117</v>
      </c>
      <c r="K1003" t="s">
        <v>117</v>
      </c>
      <c r="L1003" t="s">
        <v>117</v>
      </c>
      <c r="M1003">
        <v>7</v>
      </c>
      <c r="N1003">
        <v>210</v>
      </c>
      <c r="O1003">
        <v>5.7142857142857144</v>
      </c>
      <c r="P1003">
        <v>0</v>
      </c>
    </row>
    <row r="1004" spans="1:16" x14ac:dyDescent="0.45">
      <c r="A1004" t="s">
        <v>50</v>
      </c>
      <c r="B1004" t="s">
        <v>27</v>
      </c>
      <c r="C1004" t="s">
        <v>28</v>
      </c>
      <c r="D1004" t="s">
        <v>49</v>
      </c>
      <c r="E1004">
        <v>25</v>
      </c>
      <c r="F1004">
        <v>40</v>
      </c>
      <c r="G1004" t="s">
        <v>64</v>
      </c>
      <c r="H1004" t="s">
        <v>37</v>
      </c>
      <c r="I1004" s="24">
        <v>46097</v>
      </c>
      <c r="J1004" t="s">
        <v>117</v>
      </c>
      <c r="K1004" t="s">
        <v>117</v>
      </c>
      <c r="L1004" t="s">
        <v>117</v>
      </c>
      <c r="M1004">
        <v>7</v>
      </c>
      <c r="N1004">
        <v>175</v>
      </c>
      <c r="O1004">
        <v>5.7142857142857144</v>
      </c>
      <c r="P1004">
        <v>0</v>
      </c>
    </row>
    <row r="1005" spans="1:16" x14ac:dyDescent="0.45">
      <c r="A1005" t="s">
        <v>51</v>
      </c>
      <c r="B1005" t="s">
        <v>27</v>
      </c>
      <c r="C1005" t="s">
        <v>28</v>
      </c>
      <c r="D1005" t="s">
        <v>49</v>
      </c>
      <c r="E1005">
        <v>25</v>
      </c>
      <c r="F1005">
        <v>40</v>
      </c>
      <c r="G1005" t="s">
        <v>64</v>
      </c>
      <c r="H1005" t="s">
        <v>41</v>
      </c>
      <c r="I1005" s="24">
        <v>46097</v>
      </c>
      <c r="J1005" t="s">
        <v>117</v>
      </c>
      <c r="K1005" t="s">
        <v>117</v>
      </c>
      <c r="L1005" t="s">
        <v>117</v>
      </c>
      <c r="M1005">
        <v>0</v>
      </c>
      <c r="N1005">
        <v>0</v>
      </c>
      <c r="O1005">
        <v>5.7142857142857144</v>
      </c>
      <c r="P1005">
        <v>0</v>
      </c>
    </row>
    <row r="1006" spans="1:16" x14ac:dyDescent="0.45">
      <c r="A1006" t="s">
        <v>52</v>
      </c>
      <c r="B1006" t="s">
        <v>26</v>
      </c>
      <c r="C1006" t="s">
        <v>26</v>
      </c>
      <c r="D1006" t="s">
        <v>49</v>
      </c>
      <c r="E1006">
        <v>35</v>
      </c>
      <c r="F1006">
        <v>40</v>
      </c>
      <c r="G1006" t="s">
        <v>64</v>
      </c>
      <c r="H1006" t="s">
        <v>42</v>
      </c>
      <c r="I1006" s="24">
        <v>46097</v>
      </c>
      <c r="J1006" t="s">
        <v>117</v>
      </c>
      <c r="K1006" t="s">
        <v>117</v>
      </c>
      <c r="L1006" t="s">
        <v>117</v>
      </c>
      <c r="M1006">
        <v>8</v>
      </c>
      <c r="N1006">
        <v>280</v>
      </c>
      <c r="O1006">
        <v>5.7142857142857144</v>
      </c>
      <c r="P1006">
        <v>0</v>
      </c>
    </row>
    <row r="1007" spans="1:16" x14ac:dyDescent="0.45">
      <c r="A1007" t="s">
        <v>53</v>
      </c>
      <c r="B1007" t="s">
        <v>26</v>
      </c>
      <c r="C1007" t="s">
        <v>26</v>
      </c>
      <c r="D1007" t="s">
        <v>49</v>
      </c>
      <c r="E1007">
        <v>35</v>
      </c>
      <c r="F1007">
        <v>40</v>
      </c>
      <c r="G1007" t="s">
        <v>64</v>
      </c>
      <c r="H1007" t="s">
        <v>44</v>
      </c>
      <c r="I1007" s="24">
        <v>46097</v>
      </c>
      <c r="J1007" t="s">
        <v>117</v>
      </c>
      <c r="K1007" t="s">
        <v>117</v>
      </c>
      <c r="L1007" t="s">
        <v>117</v>
      </c>
      <c r="M1007">
        <v>8</v>
      </c>
      <c r="N1007">
        <v>280</v>
      </c>
      <c r="O1007">
        <v>5.7142857142857144</v>
      </c>
      <c r="P1007">
        <v>0</v>
      </c>
    </row>
    <row r="1008" spans="1:16" x14ac:dyDescent="0.45">
      <c r="A1008" t="s">
        <v>54</v>
      </c>
      <c r="B1008" t="s">
        <v>25</v>
      </c>
      <c r="C1008" t="s">
        <v>26</v>
      </c>
      <c r="D1008" t="s">
        <v>49</v>
      </c>
      <c r="E1008">
        <v>28</v>
      </c>
      <c r="F1008">
        <v>40</v>
      </c>
      <c r="G1008" t="s">
        <v>64</v>
      </c>
      <c r="H1008" t="s">
        <v>41</v>
      </c>
      <c r="I1008" s="24">
        <v>46097</v>
      </c>
      <c r="J1008" t="s">
        <v>117</v>
      </c>
      <c r="K1008" t="s">
        <v>117</v>
      </c>
      <c r="L1008" t="s">
        <v>117</v>
      </c>
      <c r="M1008">
        <v>0</v>
      </c>
      <c r="N1008">
        <v>0</v>
      </c>
      <c r="O1008">
        <v>5.7142857142857144</v>
      </c>
      <c r="P1008">
        <v>0</v>
      </c>
    </row>
    <row r="1009" spans="1:16" x14ac:dyDescent="0.45">
      <c r="A1009" t="s">
        <v>55</v>
      </c>
      <c r="B1009" t="s">
        <v>25</v>
      </c>
      <c r="C1009" t="s">
        <v>26</v>
      </c>
      <c r="D1009" t="s">
        <v>49</v>
      </c>
      <c r="E1009">
        <v>28</v>
      </c>
      <c r="F1009">
        <v>40</v>
      </c>
      <c r="G1009" t="s">
        <v>64</v>
      </c>
      <c r="H1009" t="s">
        <v>44</v>
      </c>
      <c r="I1009" s="24">
        <v>46097</v>
      </c>
      <c r="J1009" t="s">
        <v>117</v>
      </c>
      <c r="K1009" t="s">
        <v>117</v>
      </c>
      <c r="L1009" t="s">
        <v>117</v>
      </c>
      <c r="M1009">
        <v>8</v>
      </c>
      <c r="N1009">
        <v>224</v>
      </c>
      <c r="O1009">
        <v>5.7142857142857144</v>
      </c>
      <c r="P1009">
        <v>0</v>
      </c>
    </row>
    <row r="1010" spans="1:16" x14ac:dyDescent="0.45">
      <c r="A1010" t="s">
        <v>56</v>
      </c>
      <c r="B1010" t="s">
        <v>29</v>
      </c>
      <c r="C1010" t="s">
        <v>29</v>
      </c>
      <c r="D1010" t="s">
        <v>49</v>
      </c>
      <c r="E1010">
        <v>20</v>
      </c>
      <c r="F1010">
        <v>40</v>
      </c>
      <c r="G1010" t="s">
        <v>64</v>
      </c>
      <c r="H1010" t="s">
        <v>45</v>
      </c>
      <c r="I1010" s="24">
        <v>46097</v>
      </c>
      <c r="J1010" t="s">
        <v>117</v>
      </c>
      <c r="K1010" t="s">
        <v>117</v>
      </c>
      <c r="L1010" t="s">
        <v>117</v>
      </c>
      <c r="M1010">
        <v>8</v>
      </c>
      <c r="N1010">
        <v>160</v>
      </c>
      <c r="O1010">
        <v>5.7142857142857144</v>
      </c>
      <c r="P1010">
        <v>0</v>
      </c>
    </row>
    <row r="1011" spans="1:16" x14ac:dyDescent="0.45">
      <c r="A1011" t="s">
        <v>57</v>
      </c>
      <c r="B1011" t="s">
        <v>29</v>
      </c>
      <c r="C1011" t="s">
        <v>29</v>
      </c>
      <c r="D1011" t="s">
        <v>49</v>
      </c>
      <c r="E1011">
        <v>20</v>
      </c>
      <c r="F1011">
        <v>40</v>
      </c>
      <c r="G1011" t="s">
        <v>64</v>
      </c>
      <c r="H1011" t="s">
        <v>44</v>
      </c>
      <c r="I1011" s="24">
        <v>46097</v>
      </c>
      <c r="J1011" t="s">
        <v>117</v>
      </c>
      <c r="K1011" t="s">
        <v>117</v>
      </c>
      <c r="L1011" t="s">
        <v>117</v>
      </c>
      <c r="M1011">
        <v>8</v>
      </c>
      <c r="N1011">
        <v>160</v>
      </c>
      <c r="O1011">
        <v>5.7142857142857144</v>
      </c>
      <c r="P1011">
        <v>0</v>
      </c>
    </row>
    <row r="1012" spans="1:16" x14ac:dyDescent="0.45">
      <c r="A1012" t="s">
        <v>58</v>
      </c>
      <c r="B1012" t="s">
        <v>29</v>
      </c>
      <c r="C1012" t="s">
        <v>29</v>
      </c>
      <c r="D1012" t="s">
        <v>49</v>
      </c>
      <c r="E1012">
        <v>20</v>
      </c>
      <c r="F1012">
        <v>40</v>
      </c>
      <c r="G1012" t="s">
        <v>64</v>
      </c>
      <c r="H1012" t="s">
        <v>41</v>
      </c>
      <c r="I1012" s="24">
        <v>46097</v>
      </c>
      <c r="J1012" t="s">
        <v>117</v>
      </c>
      <c r="K1012" t="s">
        <v>117</v>
      </c>
      <c r="L1012" t="s">
        <v>117</v>
      </c>
      <c r="M1012">
        <v>0</v>
      </c>
      <c r="N1012">
        <v>0</v>
      </c>
      <c r="O1012">
        <v>5.7142857142857144</v>
      </c>
      <c r="P1012">
        <v>0</v>
      </c>
    </row>
    <row r="1013" spans="1:16" x14ac:dyDescent="0.45">
      <c r="A1013" t="s">
        <v>59</v>
      </c>
      <c r="B1013" t="s">
        <v>29</v>
      </c>
      <c r="C1013" t="s">
        <v>29</v>
      </c>
      <c r="D1013" t="s">
        <v>60</v>
      </c>
      <c r="E1013">
        <v>15</v>
      </c>
      <c r="F1013">
        <v>20</v>
      </c>
      <c r="G1013" t="s">
        <v>64</v>
      </c>
      <c r="H1013" t="s">
        <v>41</v>
      </c>
      <c r="I1013" s="24">
        <v>46097</v>
      </c>
      <c r="J1013" t="s">
        <v>117</v>
      </c>
      <c r="K1013" t="s">
        <v>117</v>
      </c>
      <c r="L1013" t="s">
        <v>117</v>
      </c>
      <c r="M1013">
        <v>0</v>
      </c>
      <c r="N1013">
        <v>0</v>
      </c>
      <c r="O1013">
        <v>2.8571428571428572</v>
      </c>
      <c r="P1013">
        <v>0</v>
      </c>
    </row>
    <row r="1014" spans="1:16" x14ac:dyDescent="0.45">
      <c r="A1014" t="s">
        <v>61</v>
      </c>
      <c r="B1014" t="s">
        <v>29</v>
      </c>
      <c r="C1014" t="s">
        <v>29</v>
      </c>
      <c r="D1014" t="s">
        <v>60</v>
      </c>
      <c r="E1014">
        <v>15</v>
      </c>
      <c r="F1014">
        <v>20</v>
      </c>
      <c r="G1014" t="s">
        <v>64</v>
      </c>
      <c r="H1014" t="s">
        <v>40</v>
      </c>
      <c r="I1014" s="24">
        <v>46097</v>
      </c>
      <c r="J1014" t="s">
        <v>117</v>
      </c>
      <c r="K1014" t="s">
        <v>117</v>
      </c>
      <c r="L1014" t="s">
        <v>117</v>
      </c>
      <c r="M1014">
        <v>5</v>
      </c>
      <c r="N1014">
        <v>75</v>
      </c>
      <c r="O1014">
        <v>2.8571428571428572</v>
      </c>
      <c r="P1014">
        <v>0</v>
      </c>
    </row>
    <row r="1015" spans="1:16" x14ac:dyDescent="0.45">
      <c r="A1015" t="s">
        <v>62</v>
      </c>
      <c r="B1015" t="s">
        <v>29</v>
      </c>
      <c r="C1015" t="s">
        <v>29</v>
      </c>
      <c r="D1015" t="s">
        <v>60</v>
      </c>
      <c r="E1015">
        <v>15</v>
      </c>
      <c r="F1015">
        <v>20</v>
      </c>
      <c r="G1015" t="s">
        <v>64</v>
      </c>
      <c r="H1015" t="s">
        <v>46</v>
      </c>
      <c r="I1015" s="24">
        <v>46097</v>
      </c>
      <c r="J1015" t="s">
        <v>117</v>
      </c>
      <c r="K1015" t="s">
        <v>117</v>
      </c>
      <c r="L1015" t="s">
        <v>117</v>
      </c>
      <c r="M1015">
        <v>5</v>
      </c>
      <c r="N1015">
        <v>75</v>
      </c>
      <c r="O1015">
        <v>2.8571428571428572</v>
      </c>
      <c r="P1015">
        <v>0</v>
      </c>
    </row>
    <row r="1016" spans="1:16" x14ac:dyDescent="0.45">
      <c r="A1016" t="s">
        <v>48</v>
      </c>
      <c r="B1016" t="s">
        <v>30</v>
      </c>
      <c r="C1016" t="s">
        <v>28</v>
      </c>
      <c r="D1016" t="s">
        <v>49</v>
      </c>
      <c r="E1016">
        <v>30</v>
      </c>
      <c r="F1016">
        <v>40</v>
      </c>
      <c r="G1016" t="s">
        <v>65</v>
      </c>
      <c r="H1016" t="s">
        <v>35</v>
      </c>
      <c r="I1016" s="24">
        <v>46098</v>
      </c>
      <c r="J1016" t="s">
        <v>117</v>
      </c>
      <c r="K1016" t="s">
        <v>117</v>
      </c>
      <c r="L1016" t="s">
        <v>117</v>
      </c>
      <c r="M1016">
        <v>7</v>
      </c>
      <c r="N1016">
        <v>210</v>
      </c>
      <c r="O1016">
        <v>5.7142857142857144</v>
      </c>
      <c r="P1016">
        <v>0</v>
      </c>
    </row>
    <row r="1017" spans="1:16" x14ac:dyDescent="0.45">
      <c r="A1017" t="s">
        <v>50</v>
      </c>
      <c r="B1017" t="s">
        <v>27</v>
      </c>
      <c r="C1017" t="s">
        <v>28</v>
      </c>
      <c r="D1017" t="s">
        <v>49</v>
      </c>
      <c r="E1017">
        <v>25</v>
      </c>
      <c r="F1017">
        <v>40</v>
      </c>
      <c r="G1017" t="s">
        <v>65</v>
      </c>
      <c r="H1017" t="s">
        <v>37</v>
      </c>
      <c r="I1017" s="24">
        <v>46098</v>
      </c>
      <c r="J1017" t="s">
        <v>117</v>
      </c>
      <c r="K1017" t="s">
        <v>117</v>
      </c>
      <c r="L1017" t="s">
        <v>117</v>
      </c>
      <c r="M1017">
        <v>7</v>
      </c>
      <c r="N1017">
        <v>175</v>
      </c>
      <c r="O1017">
        <v>5.7142857142857144</v>
      </c>
      <c r="P1017">
        <v>0</v>
      </c>
    </row>
    <row r="1018" spans="1:16" x14ac:dyDescent="0.45">
      <c r="A1018" t="s">
        <v>51</v>
      </c>
      <c r="B1018" t="s">
        <v>27</v>
      </c>
      <c r="C1018" t="s">
        <v>28</v>
      </c>
      <c r="D1018" t="s">
        <v>49</v>
      </c>
      <c r="E1018">
        <v>25</v>
      </c>
      <c r="F1018">
        <v>40</v>
      </c>
      <c r="G1018" t="s">
        <v>65</v>
      </c>
      <c r="H1018" t="s">
        <v>35</v>
      </c>
      <c r="I1018" s="24">
        <v>46098</v>
      </c>
      <c r="J1018" t="s">
        <v>117</v>
      </c>
      <c r="K1018" t="s">
        <v>117</v>
      </c>
      <c r="L1018" t="s">
        <v>117</v>
      </c>
      <c r="M1018">
        <v>7</v>
      </c>
      <c r="N1018">
        <v>175</v>
      </c>
      <c r="O1018">
        <v>5.7142857142857144</v>
      </c>
      <c r="P1018">
        <v>0</v>
      </c>
    </row>
    <row r="1019" spans="1:16" x14ac:dyDescent="0.45">
      <c r="A1019" t="s">
        <v>52</v>
      </c>
      <c r="B1019" t="s">
        <v>26</v>
      </c>
      <c r="C1019" t="s">
        <v>26</v>
      </c>
      <c r="D1019" t="s">
        <v>49</v>
      </c>
      <c r="E1019">
        <v>35</v>
      </c>
      <c r="F1019">
        <v>40</v>
      </c>
      <c r="G1019" t="s">
        <v>65</v>
      </c>
      <c r="H1019" t="s">
        <v>42</v>
      </c>
      <c r="I1019" s="24">
        <v>46098</v>
      </c>
      <c r="J1019" t="s">
        <v>117</v>
      </c>
      <c r="K1019" t="s">
        <v>117</v>
      </c>
      <c r="L1019" t="s">
        <v>117</v>
      </c>
      <c r="M1019">
        <v>8</v>
      </c>
      <c r="N1019">
        <v>280</v>
      </c>
      <c r="O1019">
        <v>5.7142857142857144</v>
      </c>
      <c r="P1019">
        <v>0</v>
      </c>
    </row>
    <row r="1020" spans="1:16" x14ac:dyDescent="0.45">
      <c r="A1020" t="s">
        <v>53</v>
      </c>
      <c r="B1020" t="s">
        <v>26</v>
      </c>
      <c r="C1020" t="s">
        <v>26</v>
      </c>
      <c r="D1020" t="s">
        <v>49</v>
      </c>
      <c r="E1020">
        <v>35</v>
      </c>
      <c r="F1020">
        <v>40</v>
      </c>
      <c r="G1020" t="s">
        <v>65</v>
      </c>
      <c r="H1020" t="s">
        <v>44</v>
      </c>
      <c r="I1020" s="24">
        <v>46098</v>
      </c>
      <c r="J1020" t="s">
        <v>117</v>
      </c>
      <c r="K1020" t="s">
        <v>117</v>
      </c>
      <c r="L1020" t="s">
        <v>117</v>
      </c>
      <c r="M1020">
        <v>8</v>
      </c>
      <c r="N1020">
        <v>280</v>
      </c>
      <c r="O1020">
        <v>5.7142857142857144</v>
      </c>
      <c r="P1020">
        <v>0</v>
      </c>
    </row>
    <row r="1021" spans="1:16" x14ac:dyDescent="0.45">
      <c r="A1021" t="s">
        <v>54</v>
      </c>
      <c r="B1021" t="s">
        <v>25</v>
      </c>
      <c r="C1021" t="s">
        <v>26</v>
      </c>
      <c r="D1021" t="s">
        <v>49</v>
      </c>
      <c r="E1021">
        <v>28</v>
      </c>
      <c r="F1021">
        <v>40</v>
      </c>
      <c r="G1021" t="s">
        <v>65</v>
      </c>
      <c r="H1021" t="s">
        <v>41</v>
      </c>
      <c r="I1021" s="24">
        <v>46098</v>
      </c>
      <c r="J1021" t="s">
        <v>117</v>
      </c>
      <c r="K1021" t="s">
        <v>117</v>
      </c>
      <c r="L1021" t="s">
        <v>117</v>
      </c>
      <c r="M1021">
        <v>0</v>
      </c>
      <c r="N1021">
        <v>0</v>
      </c>
      <c r="O1021">
        <v>5.7142857142857144</v>
      </c>
      <c r="P1021">
        <v>0</v>
      </c>
    </row>
    <row r="1022" spans="1:16" x14ac:dyDescent="0.45">
      <c r="A1022" t="s">
        <v>55</v>
      </c>
      <c r="B1022" t="s">
        <v>25</v>
      </c>
      <c r="C1022" t="s">
        <v>26</v>
      </c>
      <c r="D1022" t="s">
        <v>49</v>
      </c>
      <c r="E1022">
        <v>28</v>
      </c>
      <c r="F1022">
        <v>40</v>
      </c>
      <c r="G1022" t="s">
        <v>65</v>
      </c>
      <c r="H1022" t="s">
        <v>44</v>
      </c>
      <c r="I1022" s="24">
        <v>46098</v>
      </c>
      <c r="J1022" t="s">
        <v>117</v>
      </c>
      <c r="K1022" t="s">
        <v>117</v>
      </c>
      <c r="L1022" t="s">
        <v>117</v>
      </c>
      <c r="M1022">
        <v>8</v>
      </c>
      <c r="N1022">
        <v>224</v>
      </c>
      <c r="O1022">
        <v>5.7142857142857144</v>
      </c>
      <c r="P1022">
        <v>0</v>
      </c>
    </row>
    <row r="1023" spans="1:16" x14ac:dyDescent="0.45">
      <c r="A1023" t="s">
        <v>56</v>
      </c>
      <c r="B1023" t="s">
        <v>29</v>
      </c>
      <c r="C1023" t="s">
        <v>29</v>
      </c>
      <c r="D1023" t="s">
        <v>49</v>
      </c>
      <c r="E1023">
        <v>20</v>
      </c>
      <c r="F1023">
        <v>40</v>
      </c>
      <c r="G1023" t="s">
        <v>65</v>
      </c>
      <c r="H1023" t="s">
        <v>45</v>
      </c>
      <c r="I1023" s="24">
        <v>46098</v>
      </c>
      <c r="J1023" t="s">
        <v>117</v>
      </c>
      <c r="K1023" t="s">
        <v>117</v>
      </c>
      <c r="L1023" t="s">
        <v>117</v>
      </c>
      <c r="M1023">
        <v>8</v>
      </c>
      <c r="N1023">
        <v>160</v>
      </c>
      <c r="O1023">
        <v>5.7142857142857144</v>
      </c>
      <c r="P1023">
        <v>0</v>
      </c>
    </row>
    <row r="1024" spans="1:16" x14ac:dyDescent="0.45">
      <c r="A1024" t="s">
        <v>57</v>
      </c>
      <c r="B1024" t="s">
        <v>29</v>
      </c>
      <c r="C1024" t="s">
        <v>29</v>
      </c>
      <c r="D1024" t="s">
        <v>49</v>
      </c>
      <c r="E1024">
        <v>20</v>
      </c>
      <c r="F1024">
        <v>40</v>
      </c>
      <c r="G1024" t="s">
        <v>65</v>
      </c>
      <c r="H1024" t="s">
        <v>44</v>
      </c>
      <c r="I1024" s="24">
        <v>46098</v>
      </c>
      <c r="J1024" t="s">
        <v>117</v>
      </c>
      <c r="K1024" t="s">
        <v>117</v>
      </c>
      <c r="L1024" t="s">
        <v>117</v>
      </c>
      <c r="M1024">
        <v>8</v>
      </c>
      <c r="N1024">
        <v>160</v>
      </c>
      <c r="O1024">
        <v>5.7142857142857144</v>
      </c>
      <c r="P1024">
        <v>0</v>
      </c>
    </row>
    <row r="1025" spans="1:16" x14ac:dyDescent="0.45">
      <c r="A1025" t="s">
        <v>58</v>
      </c>
      <c r="B1025" t="s">
        <v>29</v>
      </c>
      <c r="C1025" t="s">
        <v>29</v>
      </c>
      <c r="D1025" t="s">
        <v>49</v>
      </c>
      <c r="E1025">
        <v>20</v>
      </c>
      <c r="F1025">
        <v>40</v>
      </c>
      <c r="G1025" t="s">
        <v>65</v>
      </c>
      <c r="H1025" t="s">
        <v>41</v>
      </c>
      <c r="I1025" s="24">
        <v>46098</v>
      </c>
      <c r="J1025" t="s">
        <v>117</v>
      </c>
      <c r="K1025" t="s">
        <v>117</v>
      </c>
      <c r="L1025" t="s">
        <v>117</v>
      </c>
      <c r="M1025">
        <v>0</v>
      </c>
      <c r="N1025">
        <v>0</v>
      </c>
      <c r="O1025">
        <v>5.7142857142857144</v>
      </c>
      <c r="P1025">
        <v>0</v>
      </c>
    </row>
    <row r="1026" spans="1:16" x14ac:dyDescent="0.45">
      <c r="A1026" t="s">
        <v>59</v>
      </c>
      <c r="B1026" t="s">
        <v>29</v>
      </c>
      <c r="C1026" t="s">
        <v>29</v>
      </c>
      <c r="D1026" t="s">
        <v>60</v>
      </c>
      <c r="E1026">
        <v>15</v>
      </c>
      <c r="F1026">
        <v>20</v>
      </c>
      <c r="G1026" t="s">
        <v>65</v>
      </c>
      <c r="H1026" t="s">
        <v>46</v>
      </c>
      <c r="I1026" s="24">
        <v>46098</v>
      </c>
      <c r="J1026" t="s">
        <v>117</v>
      </c>
      <c r="K1026" t="s">
        <v>117</v>
      </c>
      <c r="L1026" t="s">
        <v>117</v>
      </c>
      <c r="M1026">
        <v>5</v>
      </c>
      <c r="N1026">
        <v>75</v>
      </c>
      <c r="O1026">
        <v>2.8571428571428572</v>
      </c>
      <c r="P1026">
        <v>0</v>
      </c>
    </row>
    <row r="1027" spans="1:16" x14ac:dyDescent="0.45">
      <c r="A1027" t="s">
        <v>61</v>
      </c>
      <c r="B1027" t="s">
        <v>29</v>
      </c>
      <c r="C1027" t="s">
        <v>29</v>
      </c>
      <c r="D1027" t="s">
        <v>60</v>
      </c>
      <c r="E1027">
        <v>15</v>
      </c>
      <c r="F1027">
        <v>20</v>
      </c>
      <c r="G1027" t="s">
        <v>65</v>
      </c>
      <c r="H1027" t="s">
        <v>40</v>
      </c>
      <c r="I1027" s="24">
        <v>46098</v>
      </c>
      <c r="J1027" t="s">
        <v>117</v>
      </c>
      <c r="K1027" t="s">
        <v>117</v>
      </c>
      <c r="L1027" t="s">
        <v>117</v>
      </c>
      <c r="M1027">
        <v>5</v>
      </c>
      <c r="N1027">
        <v>75</v>
      </c>
      <c r="O1027">
        <v>2.8571428571428572</v>
      </c>
      <c r="P1027">
        <v>0</v>
      </c>
    </row>
    <row r="1028" spans="1:16" x14ac:dyDescent="0.45">
      <c r="A1028" t="s">
        <v>62</v>
      </c>
      <c r="B1028" t="s">
        <v>29</v>
      </c>
      <c r="C1028" t="s">
        <v>29</v>
      </c>
      <c r="D1028" t="s">
        <v>60</v>
      </c>
      <c r="E1028">
        <v>15</v>
      </c>
      <c r="F1028">
        <v>20</v>
      </c>
      <c r="G1028" t="s">
        <v>65</v>
      </c>
      <c r="H1028" t="s">
        <v>40</v>
      </c>
      <c r="I1028" s="24">
        <v>46098</v>
      </c>
      <c r="J1028" t="s">
        <v>117</v>
      </c>
      <c r="K1028" t="s">
        <v>117</v>
      </c>
      <c r="L1028" t="s">
        <v>117</v>
      </c>
      <c r="M1028">
        <v>5</v>
      </c>
      <c r="N1028">
        <v>75</v>
      </c>
      <c r="O1028">
        <v>2.8571428571428572</v>
      </c>
      <c r="P1028">
        <v>0</v>
      </c>
    </row>
    <row r="1029" spans="1:16" x14ac:dyDescent="0.45">
      <c r="A1029" t="s">
        <v>48</v>
      </c>
      <c r="B1029" t="s">
        <v>30</v>
      </c>
      <c r="C1029" t="s">
        <v>28</v>
      </c>
      <c r="D1029" t="s">
        <v>49</v>
      </c>
      <c r="E1029">
        <v>30</v>
      </c>
      <c r="F1029">
        <v>40</v>
      </c>
      <c r="G1029" t="s">
        <v>66</v>
      </c>
      <c r="H1029" t="s">
        <v>35</v>
      </c>
      <c r="I1029" s="24">
        <v>46099</v>
      </c>
      <c r="J1029" t="s">
        <v>117</v>
      </c>
      <c r="K1029" t="s">
        <v>118</v>
      </c>
      <c r="L1029" t="s">
        <v>118</v>
      </c>
      <c r="M1029">
        <v>7</v>
      </c>
      <c r="N1029">
        <v>420</v>
      </c>
      <c r="O1029">
        <v>5.7142857142857144</v>
      </c>
      <c r="P1029">
        <v>1</v>
      </c>
    </row>
    <row r="1030" spans="1:16" x14ac:dyDescent="0.45">
      <c r="A1030" t="s">
        <v>50</v>
      </c>
      <c r="B1030" t="s">
        <v>27</v>
      </c>
      <c r="C1030" t="s">
        <v>28</v>
      </c>
      <c r="D1030" t="s">
        <v>49</v>
      </c>
      <c r="E1030">
        <v>25</v>
      </c>
      <c r="F1030">
        <v>40</v>
      </c>
      <c r="G1030" t="s">
        <v>66</v>
      </c>
      <c r="H1030" t="s">
        <v>41</v>
      </c>
      <c r="I1030" s="24">
        <v>46099</v>
      </c>
      <c r="J1030" t="s">
        <v>117</v>
      </c>
      <c r="K1030" t="s">
        <v>118</v>
      </c>
      <c r="L1030" t="s">
        <v>118</v>
      </c>
      <c r="M1030">
        <v>0</v>
      </c>
      <c r="N1030">
        <v>0</v>
      </c>
      <c r="O1030">
        <v>5.7142857142857144</v>
      </c>
      <c r="P1030">
        <v>0</v>
      </c>
    </row>
    <row r="1031" spans="1:16" x14ac:dyDescent="0.45">
      <c r="A1031" t="s">
        <v>51</v>
      </c>
      <c r="B1031" t="s">
        <v>27</v>
      </c>
      <c r="C1031" t="s">
        <v>28</v>
      </c>
      <c r="D1031" t="s">
        <v>49</v>
      </c>
      <c r="E1031">
        <v>25</v>
      </c>
      <c r="F1031">
        <v>40</v>
      </c>
      <c r="G1031" t="s">
        <v>66</v>
      </c>
      <c r="H1031" t="s">
        <v>37</v>
      </c>
      <c r="I1031" s="24">
        <v>46099</v>
      </c>
      <c r="J1031" t="s">
        <v>117</v>
      </c>
      <c r="K1031" t="s">
        <v>118</v>
      </c>
      <c r="L1031" t="s">
        <v>118</v>
      </c>
      <c r="M1031">
        <v>7</v>
      </c>
      <c r="N1031">
        <v>350</v>
      </c>
      <c r="O1031">
        <v>5.7142857142857144</v>
      </c>
      <c r="P1031">
        <v>1</v>
      </c>
    </row>
    <row r="1032" spans="1:16" x14ac:dyDescent="0.45">
      <c r="A1032" t="s">
        <v>52</v>
      </c>
      <c r="B1032" t="s">
        <v>26</v>
      </c>
      <c r="C1032" t="s">
        <v>26</v>
      </c>
      <c r="D1032" t="s">
        <v>49</v>
      </c>
      <c r="E1032">
        <v>35</v>
      </c>
      <c r="F1032">
        <v>40</v>
      </c>
      <c r="G1032" t="s">
        <v>66</v>
      </c>
      <c r="H1032" t="s">
        <v>41</v>
      </c>
      <c r="I1032" s="24">
        <v>46099</v>
      </c>
      <c r="J1032" t="s">
        <v>117</v>
      </c>
      <c r="K1032" t="s">
        <v>118</v>
      </c>
      <c r="L1032" t="s">
        <v>118</v>
      </c>
      <c r="M1032">
        <v>0</v>
      </c>
      <c r="N1032">
        <v>0</v>
      </c>
      <c r="O1032">
        <v>5.7142857142857144</v>
      </c>
      <c r="P1032">
        <v>0</v>
      </c>
    </row>
    <row r="1033" spans="1:16" x14ac:dyDescent="0.45">
      <c r="A1033" t="s">
        <v>53</v>
      </c>
      <c r="B1033" t="s">
        <v>26</v>
      </c>
      <c r="C1033" t="s">
        <v>26</v>
      </c>
      <c r="D1033" t="s">
        <v>49</v>
      </c>
      <c r="E1033">
        <v>35</v>
      </c>
      <c r="F1033">
        <v>40</v>
      </c>
      <c r="G1033" t="s">
        <v>66</v>
      </c>
      <c r="H1033" t="s">
        <v>44</v>
      </c>
      <c r="I1033" s="24">
        <v>46099</v>
      </c>
      <c r="J1033" t="s">
        <v>117</v>
      </c>
      <c r="K1033" t="s">
        <v>118</v>
      </c>
      <c r="L1033" t="s">
        <v>118</v>
      </c>
      <c r="M1033">
        <v>8</v>
      </c>
      <c r="N1033">
        <v>560</v>
      </c>
      <c r="O1033">
        <v>5.7142857142857144</v>
      </c>
      <c r="P1033">
        <v>1</v>
      </c>
    </row>
    <row r="1034" spans="1:16" x14ac:dyDescent="0.45">
      <c r="A1034" t="s">
        <v>54</v>
      </c>
      <c r="B1034" t="s">
        <v>25</v>
      </c>
      <c r="C1034" t="s">
        <v>26</v>
      </c>
      <c r="D1034" t="s">
        <v>49</v>
      </c>
      <c r="E1034">
        <v>28</v>
      </c>
      <c r="F1034">
        <v>40</v>
      </c>
      <c r="G1034" t="s">
        <v>66</v>
      </c>
      <c r="H1034" t="s">
        <v>42</v>
      </c>
      <c r="I1034" s="24">
        <v>46099</v>
      </c>
      <c r="J1034" t="s">
        <v>117</v>
      </c>
      <c r="K1034" t="s">
        <v>118</v>
      </c>
      <c r="L1034" t="s">
        <v>118</v>
      </c>
      <c r="M1034">
        <v>8</v>
      </c>
      <c r="N1034">
        <v>448</v>
      </c>
      <c r="O1034">
        <v>5.7142857142857144</v>
      </c>
      <c r="P1034">
        <v>1</v>
      </c>
    </row>
    <row r="1035" spans="1:16" x14ac:dyDescent="0.45">
      <c r="A1035" t="s">
        <v>55</v>
      </c>
      <c r="B1035" t="s">
        <v>25</v>
      </c>
      <c r="C1035" t="s">
        <v>26</v>
      </c>
      <c r="D1035" t="s">
        <v>49</v>
      </c>
      <c r="E1035">
        <v>28</v>
      </c>
      <c r="F1035">
        <v>40</v>
      </c>
      <c r="G1035" t="s">
        <v>66</v>
      </c>
      <c r="H1035" t="s">
        <v>44</v>
      </c>
      <c r="I1035" s="24">
        <v>46099</v>
      </c>
      <c r="J1035" t="s">
        <v>117</v>
      </c>
      <c r="K1035" t="s">
        <v>118</v>
      </c>
      <c r="L1035" t="s">
        <v>118</v>
      </c>
      <c r="M1035">
        <v>8</v>
      </c>
      <c r="N1035">
        <v>448</v>
      </c>
      <c r="O1035">
        <v>5.7142857142857144</v>
      </c>
      <c r="P1035">
        <v>1</v>
      </c>
    </row>
    <row r="1036" spans="1:16" x14ac:dyDescent="0.45">
      <c r="A1036" t="s">
        <v>56</v>
      </c>
      <c r="B1036" t="s">
        <v>29</v>
      </c>
      <c r="C1036" t="s">
        <v>29</v>
      </c>
      <c r="D1036" t="s">
        <v>49</v>
      </c>
      <c r="E1036">
        <v>20</v>
      </c>
      <c r="F1036">
        <v>40</v>
      </c>
      <c r="G1036" t="s">
        <v>66</v>
      </c>
      <c r="H1036" t="s">
        <v>45</v>
      </c>
      <c r="I1036" s="24">
        <v>46099</v>
      </c>
      <c r="J1036" t="s">
        <v>117</v>
      </c>
      <c r="K1036" t="s">
        <v>118</v>
      </c>
      <c r="L1036" t="s">
        <v>118</v>
      </c>
      <c r="M1036">
        <v>8</v>
      </c>
      <c r="N1036">
        <v>320</v>
      </c>
      <c r="O1036">
        <v>5.7142857142857144</v>
      </c>
      <c r="P1036">
        <v>1</v>
      </c>
    </row>
    <row r="1037" spans="1:16" x14ac:dyDescent="0.45">
      <c r="A1037" t="s">
        <v>57</v>
      </c>
      <c r="B1037" t="s">
        <v>29</v>
      </c>
      <c r="C1037" t="s">
        <v>29</v>
      </c>
      <c r="D1037" t="s">
        <v>49</v>
      </c>
      <c r="E1037">
        <v>20</v>
      </c>
      <c r="F1037">
        <v>40</v>
      </c>
      <c r="G1037" t="s">
        <v>66</v>
      </c>
      <c r="H1037" t="s">
        <v>44</v>
      </c>
      <c r="I1037" s="24">
        <v>46099</v>
      </c>
      <c r="J1037" t="s">
        <v>117</v>
      </c>
      <c r="K1037" t="s">
        <v>118</v>
      </c>
      <c r="L1037" t="s">
        <v>118</v>
      </c>
      <c r="M1037">
        <v>8</v>
      </c>
      <c r="N1037">
        <v>320</v>
      </c>
      <c r="O1037">
        <v>5.7142857142857144</v>
      </c>
      <c r="P1037">
        <v>1</v>
      </c>
    </row>
    <row r="1038" spans="1:16" x14ac:dyDescent="0.45">
      <c r="A1038" t="s">
        <v>58</v>
      </c>
      <c r="B1038" t="s">
        <v>29</v>
      </c>
      <c r="C1038" t="s">
        <v>29</v>
      </c>
      <c r="D1038" t="s">
        <v>49</v>
      </c>
      <c r="E1038">
        <v>20</v>
      </c>
      <c r="F1038">
        <v>40</v>
      </c>
      <c r="G1038" t="s">
        <v>66</v>
      </c>
      <c r="H1038" t="s">
        <v>45</v>
      </c>
      <c r="I1038" s="24">
        <v>46099</v>
      </c>
      <c r="J1038" t="s">
        <v>117</v>
      </c>
      <c r="K1038" t="s">
        <v>118</v>
      </c>
      <c r="L1038" t="s">
        <v>118</v>
      </c>
      <c r="M1038">
        <v>8</v>
      </c>
      <c r="N1038">
        <v>320</v>
      </c>
      <c r="O1038">
        <v>5.7142857142857144</v>
      </c>
      <c r="P1038">
        <v>1</v>
      </c>
    </row>
    <row r="1039" spans="1:16" x14ac:dyDescent="0.45">
      <c r="A1039" t="s">
        <v>59</v>
      </c>
      <c r="B1039" t="s">
        <v>29</v>
      </c>
      <c r="C1039" t="s">
        <v>29</v>
      </c>
      <c r="D1039" t="s">
        <v>60</v>
      </c>
      <c r="E1039">
        <v>15</v>
      </c>
      <c r="F1039">
        <v>20</v>
      </c>
      <c r="G1039" t="s">
        <v>66</v>
      </c>
      <c r="H1039" t="s">
        <v>46</v>
      </c>
      <c r="I1039" s="24">
        <v>46099</v>
      </c>
      <c r="J1039" t="s">
        <v>117</v>
      </c>
      <c r="K1039" t="s">
        <v>118</v>
      </c>
      <c r="L1039" t="s">
        <v>118</v>
      </c>
      <c r="M1039">
        <v>5</v>
      </c>
      <c r="N1039">
        <v>150</v>
      </c>
      <c r="O1039">
        <v>2.8571428571428572</v>
      </c>
      <c r="P1039">
        <v>1</v>
      </c>
    </row>
    <row r="1040" spans="1:16" x14ac:dyDescent="0.45">
      <c r="A1040" t="s">
        <v>61</v>
      </c>
      <c r="B1040" t="s">
        <v>29</v>
      </c>
      <c r="C1040" t="s">
        <v>29</v>
      </c>
      <c r="D1040" t="s">
        <v>60</v>
      </c>
      <c r="E1040">
        <v>15</v>
      </c>
      <c r="F1040">
        <v>20</v>
      </c>
      <c r="G1040" t="s">
        <v>66</v>
      </c>
      <c r="H1040" t="s">
        <v>41</v>
      </c>
      <c r="I1040" s="24">
        <v>46099</v>
      </c>
      <c r="J1040" t="s">
        <v>117</v>
      </c>
      <c r="K1040" t="s">
        <v>118</v>
      </c>
      <c r="L1040" t="s">
        <v>118</v>
      </c>
      <c r="M1040">
        <v>0</v>
      </c>
      <c r="N1040">
        <v>0</v>
      </c>
      <c r="O1040">
        <v>2.8571428571428572</v>
      </c>
      <c r="P1040">
        <v>0</v>
      </c>
    </row>
    <row r="1041" spans="1:16" x14ac:dyDescent="0.45">
      <c r="A1041" t="s">
        <v>62</v>
      </c>
      <c r="B1041" t="s">
        <v>29</v>
      </c>
      <c r="C1041" t="s">
        <v>29</v>
      </c>
      <c r="D1041" t="s">
        <v>60</v>
      </c>
      <c r="E1041">
        <v>15</v>
      </c>
      <c r="F1041">
        <v>20</v>
      </c>
      <c r="G1041" t="s">
        <v>66</v>
      </c>
      <c r="H1041" t="s">
        <v>41</v>
      </c>
      <c r="I1041" s="24">
        <v>46099</v>
      </c>
      <c r="J1041" t="s">
        <v>117</v>
      </c>
      <c r="K1041" t="s">
        <v>118</v>
      </c>
      <c r="L1041" t="s">
        <v>118</v>
      </c>
      <c r="M1041">
        <v>0</v>
      </c>
      <c r="N1041">
        <v>0</v>
      </c>
      <c r="O1041">
        <v>2.8571428571428572</v>
      </c>
      <c r="P1041">
        <v>0</v>
      </c>
    </row>
    <row r="1042" spans="1:16" x14ac:dyDescent="0.45">
      <c r="A1042" t="s">
        <v>48</v>
      </c>
      <c r="B1042" t="s">
        <v>30</v>
      </c>
      <c r="C1042" t="s">
        <v>28</v>
      </c>
      <c r="D1042" t="s">
        <v>49</v>
      </c>
      <c r="E1042">
        <v>30</v>
      </c>
      <c r="F1042">
        <v>40</v>
      </c>
      <c r="G1042" t="s">
        <v>67</v>
      </c>
      <c r="H1042" t="s">
        <v>35</v>
      </c>
      <c r="I1042" s="24">
        <v>46100</v>
      </c>
      <c r="J1042" t="s">
        <v>117</v>
      </c>
      <c r="K1042" t="s">
        <v>117</v>
      </c>
      <c r="L1042" t="s">
        <v>117</v>
      </c>
      <c r="M1042">
        <v>7</v>
      </c>
      <c r="N1042">
        <v>210</v>
      </c>
      <c r="O1042">
        <v>5.7142857142857144</v>
      </c>
      <c r="P1042">
        <v>0</v>
      </c>
    </row>
    <row r="1043" spans="1:16" x14ac:dyDescent="0.45">
      <c r="A1043" t="s">
        <v>50</v>
      </c>
      <c r="B1043" t="s">
        <v>27</v>
      </c>
      <c r="C1043" t="s">
        <v>28</v>
      </c>
      <c r="D1043" t="s">
        <v>49</v>
      </c>
      <c r="E1043">
        <v>25</v>
      </c>
      <c r="F1043">
        <v>40</v>
      </c>
      <c r="G1043" t="s">
        <v>67</v>
      </c>
      <c r="H1043" t="s">
        <v>37</v>
      </c>
      <c r="I1043" s="24">
        <v>46100</v>
      </c>
      <c r="J1043" t="s">
        <v>117</v>
      </c>
      <c r="K1043" t="s">
        <v>117</v>
      </c>
      <c r="L1043" t="s">
        <v>117</v>
      </c>
      <c r="M1043">
        <v>7</v>
      </c>
      <c r="N1043">
        <v>175</v>
      </c>
      <c r="O1043">
        <v>5.7142857142857144</v>
      </c>
      <c r="P1043">
        <v>0</v>
      </c>
    </row>
    <row r="1044" spans="1:16" x14ac:dyDescent="0.45">
      <c r="A1044" t="s">
        <v>51</v>
      </c>
      <c r="B1044" t="s">
        <v>27</v>
      </c>
      <c r="C1044" t="s">
        <v>28</v>
      </c>
      <c r="D1044" t="s">
        <v>49</v>
      </c>
      <c r="E1044">
        <v>25</v>
      </c>
      <c r="F1044">
        <v>40</v>
      </c>
      <c r="G1044" t="s">
        <v>67</v>
      </c>
      <c r="H1044" t="s">
        <v>37</v>
      </c>
      <c r="I1044" s="24">
        <v>46100</v>
      </c>
      <c r="J1044" t="s">
        <v>117</v>
      </c>
      <c r="K1044" t="s">
        <v>117</v>
      </c>
      <c r="L1044" t="s">
        <v>117</v>
      </c>
      <c r="M1044">
        <v>7</v>
      </c>
      <c r="N1044">
        <v>175</v>
      </c>
      <c r="O1044">
        <v>5.7142857142857144</v>
      </c>
      <c r="P1044">
        <v>0</v>
      </c>
    </row>
    <row r="1045" spans="1:16" x14ac:dyDescent="0.45">
      <c r="A1045" t="s">
        <v>52</v>
      </c>
      <c r="B1045" t="s">
        <v>26</v>
      </c>
      <c r="C1045" t="s">
        <v>26</v>
      </c>
      <c r="D1045" t="s">
        <v>49</v>
      </c>
      <c r="E1045">
        <v>35</v>
      </c>
      <c r="F1045">
        <v>40</v>
      </c>
      <c r="G1045" t="s">
        <v>67</v>
      </c>
      <c r="H1045" t="s">
        <v>41</v>
      </c>
      <c r="I1045" s="24">
        <v>46100</v>
      </c>
      <c r="J1045" t="s">
        <v>117</v>
      </c>
      <c r="K1045" t="s">
        <v>117</v>
      </c>
      <c r="L1045" t="s">
        <v>117</v>
      </c>
      <c r="M1045">
        <v>0</v>
      </c>
      <c r="N1045">
        <v>0</v>
      </c>
      <c r="O1045">
        <v>5.7142857142857144</v>
      </c>
      <c r="P1045">
        <v>0</v>
      </c>
    </row>
    <row r="1046" spans="1:16" x14ac:dyDescent="0.45">
      <c r="A1046" t="s">
        <v>53</v>
      </c>
      <c r="B1046" t="s">
        <v>26</v>
      </c>
      <c r="C1046" t="s">
        <v>26</v>
      </c>
      <c r="D1046" t="s">
        <v>49</v>
      </c>
      <c r="E1046">
        <v>35</v>
      </c>
      <c r="F1046">
        <v>40</v>
      </c>
      <c r="G1046" t="s">
        <v>67</v>
      </c>
      <c r="H1046" t="s">
        <v>41</v>
      </c>
      <c r="I1046" s="24">
        <v>46100</v>
      </c>
      <c r="J1046" t="s">
        <v>117</v>
      </c>
      <c r="K1046" t="s">
        <v>117</v>
      </c>
      <c r="L1046" t="s">
        <v>117</v>
      </c>
      <c r="M1046">
        <v>0</v>
      </c>
      <c r="N1046">
        <v>0</v>
      </c>
      <c r="O1046">
        <v>5.7142857142857144</v>
      </c>
      <c r="P1046">
        <v>0</v>
      </c>
    </row>
    <row r="1047" spans="1:16" x14ac:dyDescent="0.45">
      <c r="A1047" t="s">
        <v>54</v>
      </c>
      <c r="B1047" t="s">
        <v>25</v>
      </c>
      <c r="C1047" t="s">
        <v>26</v>
      </c>
      <c r="D1047" t="s">
        <v>49</v>
      </c>
      <c r="E1047">
        <v>28</v>
      </c>
      <c r="F1047">
        <v>40</v>
      </c>
      <c r="G1047" t="s">
        <v>67</v>
      </c>
      <c r="H1047" t="s">
        <v>42</v>
      </c>
      <c r="I1047" s="24">
        <v>46100</v>
      </c>
      <c r="J1047" t="s">
        <v>117</v>
      </c>
      <c r="K1047" t="s">
        <v>117</v>
      </c>
      <c r="L1047" t="s">
        <v>117</v>
      </c>
      <c r="M1047">
        <v>8</v>
      </c>
      <c r="N1047">
        <v>224</v>
      </c>
      <c r="O1047">
        <v>5.7142857142857144</v>
      </c>
      <c r="P1047">
        <v>0</v>
      </c>
    </row>
    <row r="1048" spans="1:16" x14ac:dyDescent="0.45">
      <c r="A1048" t="s">
        <v>55</v>
      </c>
      <c r="B1048" t="s">
        <v>25</v>
      </c>
      <c r="C1048" t="s">
        <v>26</v>
      </c>
      <c r="D1048" t="s">
        <v>49</v>
      </c>
      <c r="E1048">
        <v>28</v>
      </c>
      <c r="F1048">
        <v>40</v>
      </c>
      <c r="G1048" t="s">
        <v>67</v>
      </c>
      <c r="H1048" t="s">
        <v>44</v>
      </c>
      <c r="I1048" s="24">
        <v>46100</v>
      </c>
      <c r="J1048" t="s">
        <v>117</v>
      </c>
      <c r="K1048" t="s">
        <v>117</v>
      </c>
      <c r="L1048" t="s">
        <v>117</v>
      </c>
      <c r="M1048">
        <v>8</v>
      </c>
      <c r="N1048">
        <v>224</v>
      </c>
      <c r="O1048">
        <v>5.7142857142857144</v>
      </c>
      <c r="P1048">
        <v>0</v>
      </c>
    </row>
    <row r="1049" spans="1:16" x14ac:dyDescent="0.45">
      <c r="A1049" t="s">
        <v>56</v>
      </c>
      <c r="B1049" t="s">
        <v>29</v>
      </c>
      <c r="C1049" t="s">
        <v>29</v>
      </c>
      <c r="D1049" t="s">
        <v>49</v>
      </c>
      <c r="E1049">
        <v>20</v>
      </c>
      <c r="F1049">
        <v>40</v>
      </c>
      <c r="G1049" t="s">
        <v>67</v>
      </c>
      <c r="H1049" t="s">
        <v>41</v>
      </c>
      <c r="I1049" s="24">
        <v>46100</v>
      </c>
      <c r="J1049" t="s">
        <v>117</v>
      </c>
      <c r="K1049" t="s">
        <v>117</v>
      </c>
      <c r="L1049" t="s">
        <v>117</v>
      </c>
      <c r="M1049">
        <v>0</v>
      </c>
      <c r="N1049">
        <v>0</v>
      </c>
      <c r="O1049">
        <v>5.7142857142857144</v>
      </c>
      <c r="P1049">
        <v>0</v>
      </c>
    </row>
    <row r="1050" spans="1:16" x14ac:dyDescent="0.45">
      <c r="A1050" t="s">
        <v>57</v>
      </c>
      <c r="B1050" t="s">
        <v>29</v>
      </c>
      <c r="C1050" t="s">
        <v>29</v>
      </c>
      <c r="D1050" t="s">
        <v>49</v>
      </c>
      <c r="E1050">
        <v>20</v>
      </c>
      <c r="F1050">
        <v>40</v>
      </c>
      <c r="G1050" t="s">
        <v>67</v>
      </c>
      <c r="H1050" t="s">
        <v>44</v>
      </c>
      <c r="I1050" s="24">
        <v>46100</v>
      </c>
      <c r="J1050" t="s">
        <v>117</v>
      </c>
      <c r="K1050" t="s">
        <v>117</v>
      </c>
      <c r="L1050" t="s">
        <v>117</v>
      </c>
      <c r="M1050">
        <v>8</v>
      </c>
      <c r="N1050">
        <v>160</v>
      </c>
      <c r="O1050">
        <v>5.7142857142857144</v>
      </c>
      <c r="P1050">
        <v>0</v>
      </c>
    </row>
    <row r="1051" spans="1:16" x14ac:dyDescent="0.45">
      <c r="A1051" t="s">
        <v>58</v>
      </c>
      <c r="B1051" t="s">
        <v>29</v>
      </c>
      <c r="C1051" t="s">
        <v>29</v>
      </c>
      <c r="D1051" t="s">
        <v>49</v>
      </c>
      <c r="E1051">
        <v>20</v>
      </c>
      <c r="F1051">
        <v>40</v>
      </c>
      <c r="G1051" t="s">
        <v>67</v>
      </c>
      <c r="H1051" t="s">
        <v>45</v>
      </c>
      <c r="I1051" s="24">
        <v>46100</v>
      </c>
      <c r="J1051" t="s">
        <v>117</v>
      </c>
      <c r="K1051" t="s">
        <v>117</v>
      </c>
      <c r="L1051" t="s">
        <v>117</v>
      </c>
      <c r="M1051">
        <v>8</v>
      </c>
      <c r="N1051">
        <v>160</v>
      </c>
      <c r="O1051">
        <v>5.7142857142857144</v>
      </c>
      <c r="P1051">
        <v>0</v>
      </c>
    </row>
    <row r="1052" spans="1:16" x14ac:dyDescent="0.45">
      <c r="A1052" t="s">
        <v>59</v>
      </c>
      <c r="B1052" t="s">
        <v>29</v>
      </c>
      <c r="C1052" t="s">
        <v>29</v>
      </c>
      <c r="D1052" t="s">
        <v>60</v>
      </c>
      <c r="E1052">
        <v>15</v>
      </c>
      <c r="F1052">
        <v>20</v>
      </c>
      <c r="G1052" t="s">
        <v>67</v>
      </c>
      <c r="H1052" t="s">
        <v>46</v>
      </c>
      <c r="I1052" s="24">
        <v>46100</v>
      </c>
      <c r="J1052" t="s">
        <v>117</v>
      </c>
      <c r="K1052" t="s">
        <v>117</v>
      </c>
      <c r="L1052" t="s">
        <v>117</v>
      </c>
      <c r="M1052">
        <v>5</v>
      </c>
      <c r="N1052">
        <v>75</v>
      </c>
      <c r="O1052">
        <v>2.8571428571428572</v>
      </c>
      <c r="P1052">
        <v>0</v>
      </c>
    </row>
    <row r="1053" spans="1:16" x14ac:dyDescent="0.45">
      <c r="A1053" t="s">
        <v>61</v>
      </c>
      <c r="B1053" t="s">
        <v>29</v>
      </c>
      <c r="C1053" t="s">
        <v>29</v>
      </c>
      <c r="D1053" t="s">
        <v>60</v>
      </c>
      <c r="E1053">
        <v>15</v>
      </c>
      <c r="F1053">
        <v>20</v>
      </c>
      <c r="G1053" t="s">
        <v>67</v>
      </c>
      <c r="H1053" t="s">
        <v>41</v>
      </c>
      <c r="I1053" s="24">
        <v>46100</v>
      </c>
      <c r="J1053" t="s">
        <v>117</v>
      </c>
      <c r="K1053" t="s">
        <v>117</v>
      </c>
      <c r="L1053" t="s">
        <v>117</v>
      </c>
      <c r="M1053">
        <v>0</v>
      </c>
      <c r="N1053">
        <v>0</v>
      </c>
      <c r="O1053">
        <v>2.8571428571428572</v>
      </c>
      <c r="P1053">
        <v>0</v>
      </c>
    </row>
    <row r="1054" spans="1:16" x14ac:dyDescent="0.45">
      <c r="A1054" t="s">
        <v>62</v>
      </c>
      <c r="B1054" t="s">
        <v>29</v>
      </c>
      <c r="C1054" t="s">
        <v>29</v>
      </c>
      <c r="D1054" t="s">
        <v>60</v>
      </c>
      <c r="E1054">
        <v>15</v>
      </c>
      <c r="F1054">
        <v>20</v>
      </c>
      <c r="G1054" t="s">
        <v>67</v>
      </c>
      <c r="H1054" t="s">
        <v>41</v>
      </c>
      <c r="I1054" s="24">
        <v>46100</v>
      </c>
      <c r="J1054" t="s">
        <v>117</v>
      </c>
      <c r="K1054" t="s">
        <v>117</v>
      </c>
      <c r="L1054" t="s">
        <v>117</v>
      </c>
      <c r="M1054">
        <v>0</v>
      </c>
      <c r="N1054">
        <v>0</v>
      </c>
      <c r="O1054">
        <v>2.8571428571428572</v>
      </c>
      <c r="P1054">
        <v>0</v>
      </c>
    </row>
    <row r="1055" spans="1:16" x14ac:dyDescent="0.45">
      <c r="A1055" t="s">
        <v>48</v>
      </c>
      <c r="B1055" t="s">
        <v>30</v>
      </c>
      <c r="C1055" t="s">
        <v>28</v>
      </c>
      <c r="D1055" t="s">
        <v>49</v>
      </c>
      <c r="E1055">
        <v>30</v>
      </c>
      <c r="F1055">
        <v>40</v>
      </c>
      <c r="G1055" t="s">
        <v>68</v>
      </c>
      <c r="H1055" t="s">
        <v>35</v>
      </c>
      <c r="I1055" s="24">
        <v>46101</v>
      </c>
      <c r="J1055" t="s">
        <v>118</v>
      </c>
      <c r="K1055" t="s">
        <v>117</v>
      </c>
      <c r="L1055" t="s">
        <v>118</v>
      </c>
      <c r="M1055">
        <v>7</v>
      </c>
      <c r="N1055">
        <v>315</v>
      </c>
      <c r="O1055">
        <v>5.7142857142857144</v>
      </c>
      <c r="P1055">
        <v>1</v>
      </c>
    </row>
    <row r="1056" spans="1:16" x14ac:dyDescent="0.45">
      <c r="A1056" t="s">
        <v>50</v>
      </c>
      <c r="B1056" t="s">
        <v>27</v>
      </c>
      <c r="C1056" t="s">
        <v>28</v>
      </c>
      <c r="D1056" t="s">
        <v>49</v>
      </c>
      <c r="E1056">
        <v>25</v>
      </c>
      <c r="F1056">
        <v>40</v>
      </c>
      <c r="G1056" t="s">
        <v>68</v>
      </c>
      <c r="H1056" t="s">
        <v>37</v>
      </c>
      <c r="I1056" s="24">
        <v>46101</v>
      </c>
      <c r="J1056" t="s">
        <v>118</v>
      </c>
      <c r="K1056" t="s">
        <v>117</v>
      </c>
      <c r="L1056" t="s">
        <v>118</v>
      </c>
      <c r="M1056">
        <v>7</v>
      </c>
      <c r="N1056">
        <v>262.5</v>
      </c>
      <c r="O1056">
        <v>5.7142857142857144</v>
      </c>
      <c r="P1056">
        <v>1</v>
      </c>
    </row>
    <row r="1057" spans="1:16" x14ac:dyDescent="0.45">
      <c r="A1057" t="s">
        <v>51</v>
      </c>
      <c r="B1057" t="s">
        <v>27</v>
      </c>
      <c r="C1057" t="s">
        <v>28</v>
      </c>
      <c r="D1057" t="s">
        <v>49</v>
      </c>
      <c r="E1057">
        <v>25</v>
      </c>
      <c r="F1057">
        <v>40</v>
      </c>
      <c r="G1057" t="s">
        <v>68</v>
      </c>
      <c r="H1057" t="s">
        <v>37</v>
      </c>
      <c r="I1057" s="24">
        <v>46101</v>
      </c>
      <c r="J1057" t="s">
        <v>118</v>
      </c>
      <c r="K1057" t="s">
        <v>117</v>
      </c>
      <c r="L1057" t="s">
        <v>118</v>
      </c>
      <c r="M1057">
        <v>7</v>
      </c>
      <c r="N1057">
        <v>262.5</v>
      </c>
      <c r="O1057">
        <v>5.7142857142857144</v>
      </c>
      <c r="P1057">
        <v>1</v>
      </c>
    </row>
    <row r="1058" spans="1:16" x14ac:dyDescent="0.45">
      <c r="A1058" t="s">
        <v>52</v>
      </c>
      <c r="B1058" t="s">
        <v>26</v>
      </c>
      <c r="C1058" t="s">
        <v>26</v>
      </c>
      <c r="D1058" t="s">
        <v>49</v>
      </c>
      <c r="E1058">
        <v>35</v>
      </c>
      <c r="F1058">
        <v>40</v>
      </c>
      <c r="G1058" t="s">
        <v>68</v>
      </c>
      <c r="H1058" t="s">
        <v>41</v>
      </c>
      <c r="I1058" s="24">
        <v>46101</v>
      </c>
      <c r="J1058" t="s">
        <v>118</v>
      </c>
      <c r="K1058" t="s">
        <v>117</v>
      </c>
      <c r="L1058" t="s">
        <v>118</v>
      </c>
      <c r="M1058">
        <v>0</v>
      </c>
      <c r="N1058">
        <v>0</v>
      </c>
      <c r="O1058">
        <v>5.7142857142857144</v>
      </c>
      <c r="P1058">
        <v>0</v>
      </c>
    </row>
    <row r="1059" spans="1:16" x14ac:dyDescent="0.45">
      <c r="A1059" t="s">
        <v>53</v>
      </c>
      <c r="B1059" t="s">
        <v>26</v>
      </c>
      <c r="C1059" t="s">
        <v>26</v>
      </c>
      <c r="D1059" t="s">
        <v>49</v>
      </c>
      <c r="E1059">
        <v>35</v>
      </c>
      <c r="F1059">
        <v>40</v>
      </c>
      <c r="G1059" t="s">
        <v>68</v>
      </c>
      <c r="H1059" t="s">
        <v>41</v>
      </c>
      <c r="I1059" s="24">
        <v>46101</v>
      </c>
      <c r="J1059" t="s">
        <v>118</v>
      </c>
      <c r="K1059" t="s">
        <v>117</v>
      </c>
      <c r="L1059" t="s">
        <v>118</v>
      </c>
      <c r="M1059">
        <v>0</v>
      </c>
      <c r="N1059">
        <v>0</v>
      </c>
      <c r="O1059">
        <v>5.7142857142857144</v>
      </c>
      <c r="P1059">
        <v>0</v>
      </c>
    </row>
    <row r="1060" spans="1:16" x14ac:dyDescent="0.45">
      <c r="A1060" t="s">
        <v>54</v>
      </c>
      <c r="B1060" t="s">
        <v>25</v>
      </c>
      <c r="C1060" t="s">
        <v>26</v>
      </c>
      <c r="D1060" t="s">
        <v>49</v>
      </c>
      <c r="E1060">
        <v>28</v>
      </c>
      <c r="F1060">
        <v>40</v>
      </c>
      <c r="G1060" t="s">
        <v>68</v>
      </c>
      <c r="H1060" t="s">
        <v>42</v>
      </c>
      <c r="I1060" s="24">
        <v>46101</v>
      </c>
      <c r="J1060" t="s">
        <v>118</v>
      </c>
      <c r="K1060" t="s">
        <v>117</v>
      </c>
      <c r="L1060" t="s">
        <v>118</v>
      </c>
      <c r="M1060">
        <v>8</v>
      </c>
      <c r="N1060">
        <v>336</v>
      </c>
      <c r="O1060">
        <v>5.7142857142857144</v>
      </c>
      <c r="P1060">
        <v>1</v>
      </c>
    </row>
    <row r="1061" spans="1:16" x14ac:dyDescent="0.45">
      <c r="A1061" t="s">
        <v>55</v>
      </c>
      <c r="B1061" t="s">
        <v>25</v>
      </c>
      <c r="C1061" t="s">
        <v>26</v>
      </c>
      <c r="D1061" t="s">
        <v>49</v>
      </c>
      <c r="E1061">
        <v>28</v>
      </c>
      <c r="F1061">
        <v>40</v>
      </c>
      <c r="G1061" t="s">
        <v>68</v>
      </c>
      <c r="H1061" t="s">
        <v>44</v>
      </c>
      <c r="I1061" s="24">
        <v>46101</v>
      </c>
      <c r="J1061" t="s">
        <v>118</v>
      </c>
      <c r="K1061" t="s">
        <v>117</v>
      </c>
      <c r="L1061" t="s">
        <v>118</v>
      </c>
      <c r="M1061">
        <v>8</v>
      </c>
      <c r="N1061">
        <v>336</v>
      </c>
      <c r="O1061">
        <v>5.7142857142857144</v>
      </c>
      <c r="P1061">
        <v>1</v>
      </c>
    </row>
    <row r="1062" spans="1:16" x14ac:dyDescent="0.45">
      <c r="A1062" t="s">
        <v>56</v>
      </c>
      <c r="B1062" t="s">
        <v>29</v>
      </c>
      <c r="C1062" t="s">
        <v>29</v>
      </c>
      <c r="D1062" t="s">
        <v>49</v>
      </c>
      <c r="E1062">
        <v>20</v>
      </c>
      <c r="F1062">
        <v>40</v>
      </c>
      <c r="G1062" t="s">
        <v>68</v>
      </c>
      <c r="H1062" t="s">
        <v>41</v>
      </c>
      <c r="I1062" s="24">
        <v>46101</v>
      </c>
      <c r="J1062" t="s">
        <v>118</v>
      </c>
      <c r="K1062" t="s">
        <v>117</v>
      </c>
      <c r="L1062" t="s">
        <v>118</v>
      </c>
      <c r="M1062">
        <v>0</v>
      </c>
      <c r="N1062">
        <v>0</v>
      </c>
      <c r="O1062">
        <v>5.7142857142857144</v>
      </c>
      <c r="P1062">
        <v>0</v>
      </c>
    </row>
    <row r="1063" spans="1:16" x14ac:dyDescent="0.45">
      <c r="A1063" t="s">
        <v>57</v>
      </c>
      <c r="B1063" t="s">
        <v>29</v>
      </c>
      <c r="C1063" t="s">
        <v>29</v>
      </c>
      <c r="D1063" t="s">
        <v>49</v>
      </c>
      <c r="E1063">
        <v>20</v>
      </c>
      <c r="F1063">
        <v>40</v>
      </c>
      <c r="G1063" t="s">
        <v>68</v>
      </c>
      <c r="H1063" t="s">
        <v>44</v>
      </c>
      <c r="I1063" s="24">
        <v>46101</v>
      </c>
      <c r="J1063" t="s">
        <v>118</v>
      </c>
      <c r="K1063" t="s">
        <v>117</v>
      </c>
      <c r="L1063" t="s">
        <v>118</v>
      </c>
      <c r="M1063">
        <v>8</v>
      </c>
      <c r="N1063">
        <v>240</v>
      </c>
      <c r="O1063">
        <v>5.7142857142857144</v>
      </c>
      <c r="P1063">
        <v>1</v>
      </c>
    </row>
    <row r="1064" spans="1:16" x14ac:dyDescent="0.45">
      <c r="A1064" t="s">
        <v>58</v>
      </c>
      <c r="B1064" t="s">
        <v>29</v>
      </c>
      <c r="C1064" t="s">
        <v>29</v>
      </c>
      <c r="D1064" t="s">
        <v>49</v>
      </c>
      <c r="E1064">
        <v>20</v>
      </c>
      <c r="F1064">
        <v>40</v>
      </c>
      <c r="G1064" t="s">
        <v>68</v>
      </c>
      <c r="H1064" t="s">
        <v>45</v>
      </c>
      <c r="I1064" s="24">
        <v>46101</v>
      </c>
      <c r="J1064" t="s">
        <v>118</v>
      </c>
      <c r="K1064" t="s">
        <v>117</v>
      </c>
      <c r="L1064" t="s">
        <v>118</v>
      </c>
      <c r="M1064">
        <v>8</v>
      </c>
      <c r="N1064">
        <v>240</v>
      </c>
      <c r="O1064">
        <v>5.7142857142857144</v>
      </c>
      <c r="P1064">
        <v>1</v>
      </c>
    </row>
    <row r="1065" spans="1:16" x14ac:dyDescent="0.45">
      <c r="A1065" t="s">
        <v>59</v>
      </c>
      <c r="B1065" t="s">
        <v>29</v>
      </c>
      <c r="C1065" t="s">
        <v>29</v>
      </c>
      <c r="D1065" t="s">
        <v>60</v>
      </c>
      <c r="E1065">
        <v>15</v>
      </c>
      <c r="F1065">
        <v>20</v>
      </c>
      <c r="G1065" t="s">
        <v>68</v>
      </c>
      <c r="H1065" t="s">
        <v>46</v>
      </c>
      <c r="I1065" s="24">
        <v>46101</v>
      </c>
      <c r="J1065" t="s">
        <v>118</v>
      </c>
      <c r="K1065" t="s">
        <v>117</v>
      </c>
      <c r="L1065" t="s">
        <v>118</v>
      </c>
      <c r="M1065">
        <v>5</v>
      </c>
      <c r="N1065">
        <v>112.5</v>
      </c>
      <c r="O1065">
        <v>2.8571428571428572</v>
      </c>
      <c r="P1065">
        <v>1</v>
      </c>
    </row>
    <row r="1066" spans="1:16" x14ac:dyDescent="0.45">
      <c r="A1066" t="s">
        <v>61</v>
      </c>
      <c r="B1066" t="s">
        <v>29</v>
      </c>
      <c r="C1066" t="s">
        <v>29</v>
      </c>
      <c r="D1066" t="s">
        <v>60</v>
      </c>
      <c r="E1066">
        <v>15</v>
      </c>
      <c r="F1066">
        <v>20</v>
      </c>
      <c r="G1066" t="s">
        <v>68</v>
      </c>
      <c r="H1066" t="s">
        <v>40</v>
      </c>
      <c r="I1066" s="24">
        <v>46101</v>
      </c>
      <c r="J1066" t="s">
        <v>118</v>
      </c>
      <c r="K1066" t="s">
        <v>117</v>
      </c>
      <c r="L1066" t="s">
        <v>118</v>
      </c>
      <c r="M1066">
        <v>5</v>
      </c>
      <c r="N1066">
        <v>112.5</v>
      </c>
      <c r="O1066">
        <v>2.8571428571428572</v>
      </c>
      <c r="P1066">
        <v>1</v>
      </c>
    </row>
    <row r="1067" spans="1:16" x14ac:dyDescent="0.45">
      <c r="A1067" t="s">
        <v>62</v>
      </c>
      <c r="B1067" t="s">
        <v>29</v>
      </c>
      <c r="C1067" t="s">
        <v>29</v>
      </c>
      <c r="D1067" t="s">
        <v>60</v>
      </c>
      <c r="E1067">
        <v>15</v>
      </c>
      <c r="F1067">
        <v>20</v>
      </c>
      <c r="G1067" t="s">
        <v>68</v>
      </c>
      <c r="H1067" t="s">
        <v>41</v>
      </c>
      <c r="I1067" s="24">
        <v>46101</v>
      </c>
      <c r="J1067" t="s">
        <v>118</v>
      </c>
      <c r="K1067" t="s">
        <v>117</v>
      </c>
      <c r="L1067" t="s">
        <v>118</v>
      </c>
      <c r="M1067">
        <v>0</v>
      </c>
      <c r="N1067">
        <v>0</v>
      </c>
      <c r="O1067">
        <v>2.8571428571428572</v>
      </c>
      <c r="P1067">
        <v>0</v>
      </c>
    </row>
    <row r="1068" spans="1:16" x14ac:dyDescent="0.45">
      <c r="A1068" t="s">
        <v>48</v>
      </c>
      <c r="B1068" t="s">
        <v>30</v>
      </c>
      <c r="C1068" t="s">
        <v>28</v>
      </c>
      <c r="D1068" t="s">
        <v>49</v>
      </c>
      <c r="E1068">
        <v>30</v>
      </c>
      <c r="F1068">
        <v>40</v>
      </c>
      <c r="G1068" t="s">
        <v>69</v>
      </c>
      <c r="H1068" t="s">
        <v>39</v>
      </c>
      <c r="I1068" s="24">
        <v>46102</v>
      </c>
      <c r="J1068" t="s">
        <v>118</v>
      </c>
      <c r="K1068" t="s">
        <v>117</v>
      </c>
      <c r="L1068" t="s">
        <v>118</v>
      </c>
      <c r="M1068">
        <v>5</v>
      </c>
      <c r="N1068">
        <v>225</v>
      </c>
      <c r="O1068">
        <v>5.7142857142857144</v>
      </c>
      <c r="P1068">
        <v>1</v>
      </c>
    </row>
    <row r="1069" spans="1:16" x14ac:dyDescent="0.45">
      <c r="A1069" t="s">
        <v>50</v>
      </c>
      <c r="B1069" t="s">
        <v>27</v>
      </c>
      <c r="C1069" t="s">
        <v>28</v>
      </c>
      <c r="D1069" t="s">
        <v>49</v>
      </c>
      <c r="E1069">
        <v>25</v>
      </c>
      <c r="F1069">
        <v>40</v>
      </c>
      <c r="G1069" t="s">
        <v>69</v>
      </c>
      <c r="H1069" t="s">
        <v>40</v>
      </c>
      <c r="I1069" s="24">
        <v>46102</v>
      </c>
      <c r="J1069" t="s">
        <v>118</v>
      </c>
      <c r="K1069" t="s">
        <v>117</v>
      </c>
      <c r="L1069" t="s">
        <v>118</v>
      </c>
      <c r="M1069">
        <v>5</v>
      </c>
      <c r="N1069">
        <v>187.5</v>
      </c>
      <c r="O1069">
        <v>5.7142857142857144</v>
      </c>
      <c r="P1069">
        <v>1</v>
      </c>
    </row>
    <row r="1070" spans="1:16" x14ac:dyDescent="0.45">
      <c r="A1070" t="s">
        <v>51</v>
      </c>
      <c r="B1070" t="s">
        <v>27</v>
      </c>
      <c r="C1070" t="s">
        <v>28</v>
      </c>
      <c r="D1070" t="s">
        <v>49</v>
      </c>
      <c r="E1070">
        <v>25</v>
      </c>
      <c r="F1070">
        <v>40</v>
      </c>
      <c r="G1070" t="s">
        <v>69</v>
      </c>
      <c r="H1070" t="s">
        <v>37</v>
      </c>
      <c r="I1070" s="24">
        <v>46102</v>
      </c>
      <c r="J1070" t="s">
        <v>118</v>
      </c>
      <c r="K1070" t="s">
        <v>117</v>
      </c>
      <c r="L1070" t="s">
        <v>118</v>
      </c>
      <c r="M1070">
        <v>7</v>
      </c>
      <c r="N1070">
        <v>262.5</v>
      </c>
      <c r="O1070">
        <v>5.7142857142857144</v>
      </c>
      <c r="P1070">
        <v>1</v>
      </c>
    </row>
    <row r="1071" spans="1:16" x14ac:dyDescent="0.45">
      <c r="A1071" t="s">
        <v>52</v>
      </c>
      <c r="B1071" t="s">
        <v>26</v>
      </c>
      <c r="C1071" t="s">
        <v>26</v>
      </c>
      <c r="D1071" t="s">
        <v>49</v>
      </c>
      <c r="E1071">
        <v>35</v>
      </c>
      <c r="F1071">
        <v>40</v>
      </c>
      <c r="G1071" t="s">
        <v>69</v>
      </c>
      <c r="H1071" t="s">
        <v>41</v>
      </c>
      <c r="I1071" s="24">
        <v>46102</v>
      </c>
      <c r="J1071" t="s">
        <v>118</v>
      </c>
      <c r="K1071" t="s">
        <v>117</v>
      </c>
      <c r="L1071" t="s">
        <v>118</v>
      </c>
      <c r="M1071">
        <v>0</v>
      </c>
      <c r="N1071">
        <v>0</v>
      </c>
      <c r="O1071">
        <v>5.7142857142857144</v>
      </c>
      <c r="P1071">
        <v>0</v>
      </c>
    </row>
    <row r="1072" spans="1:16" x14ac:dyDescent="0.45">
      <c r="A1072" t="s">
        <v>53</v>
      </c>
      <c r="B1072" t="s">
        <v>26</v>
      </c>
      <c r="C1072" t="s">
        <v>26</v>
      </c>
      <c r="D1072" t="s">
        <v>49</v>
      </c>
      <c r="E1072">
        <v>35</v>
      </c>
      <c r="F1072">
        <v>40</v>
      </c>
      <c r="G1072" t="s">
        <v>69</v>
      </c>
      <c r="H1072" t="s">
        <v>42</v>
      </c>
      <c r="I1072" s="24">
        <v>46102</v>
      </c>
      <c r="J1072" t="s">
        <v>118</v>
      </c>
      <c r="K1072" t="s">
        <v>117</v>
      </c>
      <c r="L1072" t="s">
        <v>118</v>
      </c>
      <c r="M1072">
        <v>8</v>
      </c>
      <c r="N1072">
        <v>420</v>
      </c>
      <c r="O1072">
        <v>5.7142857142857144</v>
      </c>
      <c r="P1072">
        <v>1</v>
      </c>
    </row>
    <row r="1073" spans="1:16" x14ac:dyDescent="0.45">
      <c r="A1073" t="s">
        <v>54</v>
      </c>
      <c r="B1073" t="s">
        <v>25</v>
      </c>
      <c r="C1073" t="s">
        <v>26</v>
      </c>
      <c r="D1073" t="s">
        <v>49</v>
      </c>
      <c r="E1073">
        <v>28</v>
      </c>
      <c r="F1073">
        <v>40</v>
      </c>
      <c r="G1073" t="s">
        <v>69</v>
      </c>
      <c r="H1073" t="s">
        <v>44</v>
      </c>
      <c r="I1073" s="24">
        <v>46102</v>
      </c>
      <c r="J1073" t="s">
        <v>118</v>
      </c>
      <c r="K1073" t="s">
        <v>117</v>
      </c>
      <c r="L1073" t="s">
        <v>118</v>
      </c>
      <c r="M1073">
        <v>8</v>
      </c>
      <c r="N1073">
        <v>336</v>
      </c>
      <c r="O1073">
        <v>5.7142857142857144</v>
      </c>
      <c r="P1073">
        <v>1</v>
      </c>
    </row>
    <row r="1074" spans="1:16" x14ac:dyDescent="0.45">
      <c r="A1074" t="s">
        <v>55</v>
      </c>
      <c r="B1074" t="s">
        <v>25</v>
      </c>
      <c r="C1074" t="s">
        <v>26</v>
      </c>
      <c r="D1074" t="s">
        <v>49</v>
      </c>
      <c r="E1074">
        <v>28</v>
      </c>
      <c r="F1074">
        <v>40</v>
      </c>
      <c r="G1074" t="s">
        <v>69</v>
      </c>
      <c r="H1074" t="s">
        <v>41</v>
      </c>
      <c r="I1074" s="24">
        <v>46102</v>
      </c>
      <c r="J1074" t="s">
        <v>118</v>
      </c>
      <c r="K1074" t="s">
        <v>117</v>
      </c>
      <c r="L1074" t="s">
        <v>118</v>
      </c>
      <c r="M1074">
        <v>0</v>
      </c>
      <c r="N1074">
        <v>0</v>
      </c>
      <c r="O1074">
        <v>5.7142857142857144</v>
      </c>
      <c r="P1074">
        <v>0</v>
      </c>
    </row>
    <row r="1075" spans="1:16" x14ac:dyDescent="0.45">
      <c r="A1075" t="s">
        <v>56</v>
      </c>
      <c r="B1075" t="s">
        <v>29</v>
      </c>
      <c r="C1075" t="s">
        <v>29</v>
      </c>
      <c r="D1075" t="s">
        <v>49</v>
      </c>
      <c r="E1075">
        <v>20</v>
      </c>
      <c r="F1075">
        <v>40</v>
      </c>
      <c r="G1075" t="s">
        <v>69</v>
      </c>
      <c r="H1075" t="s">
        <v>45</v>
      </c>
      <c r="I1075" s="24">
        <v>46102</v>
      </c>
      <c r="J1075" t="s">
        <v>118</v>
      </c>
      <c r="K1075" t="s">
        <v>117</v>
      </c>
      <c r="L1075" t="s">
        <v>118</v>
      </c>
      <c r="M1075">
        <v>8</v>
      </c>
      <c r="N1075">
        <v>240</v>
      </c>
      <c r="O1075">
        <v>5.7142857142857144</v>
      </c>
      <c r="P1075">
        <v>1</v>
      </c>
    </row>
    <row r="1076" spans="1:16" x14ac:dyDescent="0.45">
      <c r="A1076" t="s">
        <v>57</v>
      </c>
      <c r="B1076" t="s">
        <v>29</v>
      </c>
      <c r="C1076" t="s">
        <v>29</v>
      </c>
      <c r="D1076" t="s">
        <v>49</v>
      </c>
      <c r="E1076">
        <v>20</v>
      </c>
      <c r="F1076">
        <v>40</v>
      </c>
      <c r="G1076" t="s">
        <v>69</v>
      </c>
      <c r="H1076" t="s">
        <v>41</v>
      </c>
      <c r="I1076" s="24">
        <v>46102</v>
      </c>
      <c r="J1076" t="s">
        <v>118</v>
      </c>
      <c r="K1076" t="s">
        <v>117</v>
      </c>
      <c r="L1076" t="s">
        <v>118</v>
      </c>
      <c r="M1076">
        <v>0</v>
      </c>
      <c r="N1076">
        <v>0</v>
      </c>
      <c r="O1076">
        <v>5.7142857142857144</v>
      </c>
      <c r="P1076">
        <v>0</v>
      </c>
    </row>
    <row r="1077" spans="1:16" x14ac:dyDescent="0.45">
      <c r="A1077" t="s">
        <v>58</v>
      </c>
      <c r="B1077" t="s">
        <v>29</v>
      </c>
      <c r="C1077" t="s">
        <v>29</v>
      </c>
      <c r="D1077" t="s">
        <v>49</v>
      </c>
      <c r="E1077">
        <v>20</v>
      </c>
      <c r="F1077">
        <v>40</v>
      </c>
      <c r="G1077" t="s">
        <v>69</v>
      </c>
      <c r="H1077" t="s">
        <v>44</v>
      </c>
      <c r="I1077" s="24">
        <v>46102</v>
      </c>
      <c r="J1077" t="s">
        <v>118</v>
      </c>
      <c r="K1077" t="s">
        <v>117</v>
      </c>
      <c r="L1077" t="s">
        <v>118</v>
      </c>
      <c r="M1077">
        <v>8</v>
      </c>
      <c r="N1077">
        <v>240</v>
      </c>
      <c r="O1077">
        <v>5.7142857142857144</v>
      </c>
      <c r="P1077">
        <v>1</v>
      </c>
    </row>
    <row r="1078" spans="1:16" x14ac:dyDescent="0.45">
      <c r="A1078" t="s">
        <v>59</v>
      </c>
      <c r="B1078" t="s">
        <v>29</v>
      </c>
      <c r="C1078" t="s">
        <v>29</v>
      </c>
      <c r="D1078" t="s">
        <v>60</v>
      </c>
      <c r="E1078">
        <v>15</v>
      </c>
      <c r="F1078">
        <v>20</v>
      </c>
      <c r="G1078" t="s">
        <v>69</v>
      </c>
      <c r="H1078" t="s">
        <v>46</v>
      </c>
      <c r="I1078" s="24">
        <v>46102</v>
      </c>
      <c r="J1078" t="s">
        <v>118</v>
      </c>
      <c r="K1078" t="s">
        <v>117</v>
      </c>
      <c r="L1078" t="s">
        <v>118</v>
      </c>
      <c r="M1078">
        <v>5</v>
      </c>
      <c r="N1078">
        <v>112.5</v>
      </c>
      <c r="O1078">
        <v>2.8571428571428572</v>
      </c>
      <c r="P1078">
        <v>1</v>
      </c>
    </row>
    <row r="1079" spans="1:16" x14ac:dyDescent="0.45">
      <c r="A1079" t="s">
        <v>61</v>
      </c>
      <c r="B1079" t="s">
        <v>29</v>
      </c>
      <c r="C1079" t="s">
        <v>29</v>
      </c>
      <c r="D1079" t="s">
        <v>60</v>
      </c>
      <c r="E1079">
        <v>15</v>
      </c>
      <c r="F1079">
        <v>20</v>
      </c>
      <c r="G1079" t="s">
        <v>69</v>
      </c>
      <c r="H1079" t="s">
        <v>40</v>
      </c>
      <c r="I1079" s="24">
        <v>46102</v>
      </c>
      <c r="J1079" t="s">
        <v>118</v>
      </c>
      <c r="K1079" t="s">
        <v>117</v>
      </c>
      <c r="L1079" t="s">
        <v>118</v>
      </c>
      <c r="M1079">
        <v>5</v>
      </c>
      <c r="N1079">
        <v>112.5</v>
      </c>
      <c r="O1079">
        <v>2.8571428571428572</v>
      </c>
      <c r="P1079">
        <v>1</v>
      </c>
    </row>
    <row r="1080" spans="1:16" x14ac:dyDescent="0.45">
      <c r="A1080" t="s">
        <v>62</v>
      </c>
      <c r="B1080" t="s">
        <v>29</v>
      </c>
      <c r="C1080" t="s">
        <v>29</v>
      </c>
      <c r="D1080" t="s">
        <v>60</v>
      </c>
      <c r="E1080">
        <v>15</v>
      </c>
      <c r="F1080">
        <v>20</v>
      </c>
      <c r="G1080" t="s">
        <v>69</v>
      </c>
      <c r="H1080" t="s">
        <v>40</v>
      </c>
      <c r="I1080" s="24">
        <v>46102</v>
      </c>
      <c r="J1080" t="s">
        <v>118</v>
      </c>
      <c r="K1080" t="s">
        <v>117</v>
      </c>
      <c r="L1080" t="s">
        <v>118</v>
      </c>
      <c r="M1080">
        <v>5</v>
      </c>
      <c r="N1080">
        <v>112.5</v>
      </c>
      <c r="O1080">
        <v>2.8571428571428572</v>
      </c>
      <c r="P1080">
        <v>1</v>
      </c>
    </row>
    <row r="1081" spans="1:16" x14ac:dyDescent="0.45">
      <c r="A1081" t="s">
        <v>48</v>
      </c>
      <c r="B1081" t="s">
        <v>30</v>
      </c>
      <c r="C1081" t="s">
        <v>28</v>
      </c>
      <c r="D1081" t="s">
        <v>49</v>
      </c>
      <c r="E1081">
        <v>30</v>
      </c>
      <c r="F1081">
        <v>40</v>
      </c>
      <c r="G1081" t="s">
        <v>70</v>
      </c>
      <c r="H1081" t="s">
        <v>35</v>
      </c>
      <c r="I1081" s="24">
        <v>46103</v>
      </c>
      <c r="J1081" t="s">
        <v>117</v>
      </c>
      <c r="K1081" t="s">
        <v>117</v>
      </c>
      <c r="L1081" t="s">
        <v>117</v>
      </c>
      <c r="M1081">
        <v>7</v>
      </c>
      <c r="N1081">
        <v>210</v>
      </c>
      <c r="O1081">
        <v>5.7142857142857144</v>
      </c>
      <c r="P1081">
        <v>0</v>
      </c>
    </row>
    <row r="1082" spans="1:16" x14ac:dyDescent="0.45">
      <c r="A1082" t="s">
        <v>50</v>
      </c>
      <c r="B1082" t="s">
        <v>27</v>
      </c>
      <c r="C1082" t="s">
        <v>28</v>
      </c>
      <c r="D1082" t="s">
        <v>49</v>
      </c>
      <c r="E1082">
        <v>25</v>
      </c>
      <c r="F1082">
        <v>40</v>
      </c>
      <c r="G1082" t="s">
        <v>70</v>
      </c>
      <c r="H1082" t="s">
        <v>37</v>
      </c>
      <c r="I1082" s="24">
        <v>46103</v>
      </c>
      <c r="J1082" t="s">
        <v>117</v>
      </c>
      <c r="K1082" t="s">
        <v>117</v>
      </c>
      <c r="L1082" t="s">
        <v>117</v>
      </c>
      <c r="M1082">
        <v>7</v>
      </c>
      <c r="N1082">
        <v>175</v>
      </c>
      <c r="O1082">
        <v>5.7142857142857144</v>
      </c>
      <c r="P1082">
        <v>0</v>
      </c>
    </row>
    <row r="1083" spans="1:16" x14ac:dyDescent="0.45">
      <c r="A1083" t="s">
        <v>51</v>
      </c>
      <c r="B1083" t="s">
        <v>27</v>
      </c>
      <c r="C1083" t="s">
        <v>28</v>
      </c>
      <c r="D1083" t="s">
        <v>49</v>
      </c>
      <c r="E1083">
        <v>25</v>
      </c>
      <c r="F1083">
        <v>40</v>
      </c>
      <c r="G1083" t="s">
        <v>70</v>
      </c>
      <c r="H1083" t="s">
        <v>37</v>
      </c>
      <c r="I1083" s="24">
        <v>46103</v>
      </c>
      <c r="J1083" t="s">
        <v>117</v>
      </c>
      <c r="K1083" t="s">
        <v>117</v>
      </c>
      <c r="L1083" t="s">
        <v>117</v>
      </c>
      <c r="M1083">
        <v>7</v>
      </c>
      <c r="N1083">
        <v>175</v>
      </c>
      <c r="O1083">
        <v>5.7142857142857144</v>
      </c>
      <c r="P1083">
        <v>0</v>
      </c>
    </row>
    <row r="1084" spans="1:16" x14ac:dyDescent="0.45">
      <c r="A1084" t="s">
        <v>52</v>
      </c>
      <c r="B1084" t="s">
        <v>26</v>
      </c>
      <c r="C1084" t="s">
        <v>26</v>
      </c>
      <c r="D1084" t="s">
        <v>49</v>
      </c>
      <c r="E1084">
        <v>35</v>
      </c>
      <c r="F1084">
        <v>40</v>
      </c>
      <c r="G1084" t="s">
        <v>70</v>
      </c>
      <c r="H1084" t="s">
        <v>41</v>
      </c>
      <c r="I1084" s="24">
        <v>46103</v>
      </c>
      <c r="J1084" t="s">
        <v>117</v>
      </c>
      <c r="K1084" t="s">
        <v>117</v>
      </c>
      <c r="L1084" t="s">
        <v>117</v>
      </c>
      <c r="M1084">
        <v>0</v>
      </c>
      <c r="N1084">
        <v>0</v>
      </c>
      <c r="O1084">
        <v>5.7142857142857144</v>
      </c>
      <c r="P1084">
        <v>0</v>
      </c>
    </row>
    <row r="1085" spans="1:16" x14ac:dyDescent="0.45">
      <c r="A1085" t="s">
        <v>53</v>
      </c>
      <c r="B1085" t="s">
        <v>26</v>
      </c>
      <c r="C1085" t="s">
        <v>26</v>
      </c>
      <c r="D1085" t="s">
        <v>49</v>
      </c>
      <c r="E1085">
        <v>35</v>
      </c>
      <c r="F1085">
        <v>40</v>
      </c>
      <c r="G1085" t="s">
        <v>70</v>
      </c>
      <c r="H1085" t="s">
        <v>42</v>
      </c>
      <c r="I1085" s="24">
        <v>46103</v>
      </c>
      <c r="J1085" t="s">
        <v>117</v>
      </c>
      <c r="K1085" t="s">
        <v>117</v>
      </c>
      <c r="L1085" t="s">
        <v>117</v>
      </c>
      <c r="M1085">
        <v>8</v>
      </c>
      <c r="N1085">
        <v>280</v>
      </c>
      <c r="O1085">
        <v>5.7142857142857144</v>
      </c>
      <c r="P1085">
        <v>0</v>
      </c>
    </row>
    <row r="1086" spans="1:16" x14ac:dyDescent="0.45">
      <c r="A1086" t="s">
        <v>54</v>
      </c>
      <c r="B1086" t="s">
        <v>25</v>
      </c>
      <c r="C1086" t="s">
        <v>26</v>
      </c>
      <c r="D1086" t="s">
        <v>49</v>
      </c>
      <c r="E1086">
        <v>28</v>
      </c>
      <c r="F1086">
        <v>40</v>
      </c>
      <c r="G1086" t="s">
        <v>70</v>
      </c>
      <c r="H1086" t="s">
        <v>44</v>
      </c>
      <c r="I1086" s="24">
        <v>46103</v>
      </c>
      <c r="J1086" t="s">
        <v>117</v>
      </c>
      <c r="K1086" t="s">
        <v>117</v>
      </c>
      <c r="L1086" t="s">
        <v>117</v>
      </c>
      <c r="M1086">
        <v>8</v>
      </c>
      <c r="N1086">
        <v>224</v>
      </c>
      <c r="O1086">
        <v>5.7142857142857144</v>
      </c>
      <c r="P1086">
        <v>0</v>
      </c>
    </row>
    <row r="1087" spans="1:16" x14ac:dyDescent="0.45">
      <c r="A1087" t="s">
        <v>55</v>
      </c>
      <c r="B1087" t="s">
        <v>25</v>
      </c>
      <c r="C1087" t="s">
        <v>26</v>
      </c>
      <c r="D1087" t="s">
        <v>49</v>
      </c>
      <c r="E1087">
        <v>28</v>
      </c>
      <c r="F1087">
        <v>40</v>
      </c>
      <c r="G1087" t="s">
        <v>70</v>
      </c>
      <c r="H1087" t="s">
        <v>41</v>
      </c>
      <c r="I1087" s="24">
        <v>46103</v>
      </c>
      <c r="J1087" t="s">
        <v>117</v>
      </c>
      <c r="K1087" t="s">
        <v>117</v>
      </c>
      <c r="L1087" t="s">
        <v>117</v>
      </c>
      <c r="M1087">
        <v>0</v>
      </c>
      <c r="N1087">
        <v>0</v>
      </c>
      <c r="O1087">
        <v>5.7142857142857144</v>
      </c>
      <c r="P1087">
        <v>0</v>
      </c>
    </row>
    <row r="1088" spans="1:16" x14ac:dyDescent="0.45">
      <c r="A1088" t="s">
        <v>56</v>
      </c>
      <c r="B1088" t="s">
        <v>29</v>
      </c>
      <c r="C1088" t="s">
        <v>29</v>
      </c>
      <c r="D1088" t="s">
        <v>49</v>
      </c>
      <c r="E1088">
        <v>20</v>
      </c>
      <c r="F1088">
        <v>40</v>
      </c>
      <c r="G1088" t="s">
        <v>70</v>
      </c>
      <c r="H1088" t="s">
        <v>45</v>
      </c>
      <c r="I1088" s="24">
        <v>46103</v>
      </c>
      <c r="J1088" t="s">
        <v>117</v>
      </c>
      <c r="K1088" t="s">
        <v>117</v>
      </c>
      <c r="L1088" t="s">
        <v>117</v>
      </c>
      <c r="M1088">
        <v>8</v>
      </c>
      <c r="N1088">
        <v>160</v>
      </c>
      <c r="O1088">
        <v>5.7142857142857144</v>
      </c>
      <c r="P1088">
        <v>0</v>
      </c>
    </row>
    <row r="1089" spans="1:16" x14ac:dyDescent="0.45">
      <c r="A1089" t="s">
        <v>57</v>
      </c>
      <c r="B1089" t="s">
        <v>29</v>
      </c>
      <c r="C1089" t="s">
        <v>29</v>
      </c>
      <c r="D1089" t="s">
        <v>49</v>
      </c>
      <c r="E1089">
        <v>20</v>
      </c>
      <c r="F1089">
        <v>40</v>
      </c>
      <c r="G1089" t="s">
        <v>70</v>
      </c>
      <c r="H1089" t="s">
        <v>41</v>
      </c>
      <c r="I1089" s="24">
        <v>46103</v>
      </c>
      <c r="J1089" t="s">
        <v>117</v>
      </c>
      <c r="K1089" t="s">
        <v>117</v>
      </c>
      <c r="L1089" t="s">
        <v>117</v>
      </c>
      <c r="M1089">
        <v>0</v>
      </c>
      <c r="N1089">
        <v>0</v>
      </c>
      <c r="O1089">
        <v>5.7142857142857144</v>
      </c>
      <c r="P1089">
        <v>0</v>
      </c>
    </row>
    <row r="1090" spans="1:16" x14ac:dyDescent="0.45">
      <c r="A1090" t="s">
        <v>58</v>
      </c>
      <c r="B1090" t="s">
        <v>29</v>
      </c>
      <c r="C1090" t="s">
        <v>29</v>
      </c>
      <c r="D1090" t="s">
        <v>49</v>
      </c>
      <c r="E1090">
        <v>20</v>
      </c>
      <c r="F1090">
        <v>40</v>
      </c>
      <c r="G1090" t="s">
        <v>70</v>
      </c>
      <c r="H1090" t="s">
        <v>44</v>
      </c>
      <c r="I1090" s="24">
        <v>46103</v>
      </c>
      <c r="J1090" t="s">
        <v>117</v>
      </c>
      <c r="K1090" t="s">
        <v>117</v>
      </c>
      <c r="L1090" t="s">
        <v>117</v>
      </c>
      <c r="M1090">
        <v>8</v>
      </c>
      <c r="N1090">
        <v>160</v>
      </c>
      <c r="O1090">
        <v>5.7142857142857144</v>
      </c>
      <c r="P1090">
        <v>0</v>
      </c>
    </row>
    <row r="1091" spans="1:16" x14ac:dyDescent="0.45">
      <c r="A1091" t="s">
        <v>59</v>
      </c>
      <c r="B1091" t="s">
        <v>29</v>
      </c>
      <c r="C1091" t="s">
        <v>29</v>
      </c>
      <c r="D1091" t="s">
        <v>60</v>
      </c>
      <c r="E1091">
        <v>15</v>
      </c>
      <c r="F1091">
        <v>20</v>
      </c>
      <c r="G1091" t="s">
        <v>70</v>
      </c>
      <c r="H1091" t="s">
        <v>46</v>
      </c>
      <c r="I1091" s="24">
        <v>46103</v>
      </c>
      <c r="J1091" t="s">
        <v>117</v>
      </c>
      <c r="K1091" t="s">
        <v>117</v>
      </c>
      <c r="L1091" t="s">
        <v>117</v>
      </c>
      <c r="M1091">
        <v>5</v>
      </c>
      <c r="N1091">
        <v>75</v>
      </c>
      <c r="O1091">
        <v>2.8571428571428572</v>
      </c>
      <c r="P1091">
        <v>0</v>
      </c>
    </row>
    <row r="1092" spans="1:16" x14ac:dyDescent="0.45">
      <c r="A1092" t="s">
        <v>61</v>
      </c>
      <c r="B1092" t="s">
        <v>29</v>
      </c>
      <c r="C1092" t="s">
        <v>29</v>
      </c>
      <c r="D1092" t="s">
        <v>60</v>
      </c>
      <c r="E1092">
        <v>15</v>
      </c>
      <c r="F1092">
        <v>20</v>
      </c>
      <c r="G1092" t="s">
        <v>70</v>
      </c>
      <c r="H1092" t="s">
        <v>41</v>
      </c>
      <c r="I1092" s="24">
        <v>46103</v>
      </c>
      <c r="J1092" t="s">
        <v>117</v>
      </c>
      <c r="K1092" t="s">
        <v>117</v>
      </c>
      <c r="L1092" t="s">
        <v>117</v>
      </c>
      <c r="M1092">
        <v>0</v>
      </c>
      <c r="N1092">
        <v>0</v>
      </c>
      <c r="O1092">
        <v>2.8571428571428572</v>
      </c>
      <c r="P1092">
        <v>0</v>
      </c>
    </row>
    <row r="1093" spans="1:16" x14ac:dyDescent="0.45">
      <c r="A1093" t="s">
        <v>62</v>
      </c>
      <c r="B1093" t="s">
        <v>29</v>
      </c>
      <c r="C1093" t="s">
        <v>29</v>
      </c>
      <c r="D1093" t="s">
        <v>60</v>
      </c>
      <c r="E1093">
        <v>15</v>
      </c>
      <c r="F1093">
        <v>20</v>
      </c>
      <c r="G1093" t="s">
        <v>70</v>
      </c>
      <c r="H1093" t="s">
        <v>40</v>
      </c>
      <c r="I1093" s="24">
        <v>46103</v>
      </c>
      <c r="J1093" t="s">
        <v>117</v>
      </c>
      <c r="K1093" t="s">
        <v>117</v>
      </c>
      <c r="L1093" t="s">
        <v>117</v>
      </c>
      <c r="M1093">
        <v>5</v>
      </c>
      <c r="N1093">
        <v>75</v>
      </c>
      <c r="O1093">
        <v>2.8571428571428572</v>
      </c>
      <c r="P1093">
        <v>0</v>
      </c>
    </row>
    <row r="1094" spans="1:16" x14ac:dyDescent="0.45">
      <c r="A1094" t="s">
        <v>48</v>
      </c>
      <c r="B1094" t="s">
        <v>30</v>
      </c>
      <c r="C1094" t="s">
        <v>28</v>
      </c>
      <c r="D1094" t="s">
        <v>49</v>
      </c>
      <c r="E1094">
        <v>30</v>
      </c>
      <c r="F1094">
        <v>40</v>
      </c>
      <c r="G1094" t="s">
        <v>64</v>
      </c>
      <c r="H1094" t="s">
        <v>35</v>
      </c>
      <c r="I1094" s="24">
        <v>46104</v>
      </c>
      <c r="J1094" t="s">
        <v>117</v>
      </c>
      <c r="K1094" t="s">
        <v>117</v>
      </c>
      <c r="L1094" t="s">
        <v>117</v>
      </c>
      <c r="M1094">
        <v>7</v>
      </c>
      <c r="N1094">
        <v>210</v>
      </c>
      <c r="O1094">
        <v>5.7142857142857144</v>
      </c>
      <c r="P1094">
        <v>0</v>
      </c>
    </row>
    <row r="1095" spans="1:16" x14ac:dyDescent="0.45">
      <c r="A1095" t="s">
        <v>50</v>
      </c>
      <c r="B1095" t="s">
        <v>27</v>
      </c>
      <c r="C1095" t="s">
        <v>28</v>
      </c>
      <c r="D1095" t="s">
        <v>49</v>
      </c>
      <c r="E1095">
        <v>25</v>
      </c>
      <c r="F1095">
        <v>40</v>
      </c>
      <c r="G1095" t="s">
        <v>64</v>
      </c>
      <c r="H1095" t="s">
        <v>37</v>
      </c>
      <c r="I1095" s="24">
        <v>46104</v>
      </c>
      <c r="J1095" t="s">
        <v>117</v>
      </c>
      <c r="K1095" t="s">
        <v>117</v>
      </c>
      <c r="L1095" t="s">
        <v>117</v>
      </c>
      <c r="M1095">
        <v>7</v>
      </c>
      <c r="N1095">
        <v>175</v>
      </c>
      <c r="O1095">
        <v>5.7142857142857144</v>
      </c>
      <c r="P1095">
        <v>0</v>
      </c>
    </row>
    <row r="1096" spans="1:16" x14ac:dyDescent="0.45">
      <c r="A1096" t="s">
        <v>51</v>
      </c>
      <c r="B1096" t="s">
        <v>27</v>
      </c>
      <c r="C1096" t="s">
        <v>28</v>
      </c>
      <c r="D1096" t="s">
        <v>49</v>
      </c>
      <c r="E1096">
        <v>25</v>
      </c>
      <c r="F1096">
        <v>40</v>
      </c>
      <c r="G1096" t="s">
        <v>64</v>
      </c>
      <c r="H1096" t="s">
        <v>41</v>
      </c>
      <c r="I1096" s="24">
        <v>46104</v>
      </c>
      <c r="J1096" t="s">
        <v>117</v>
      </c>
      <c r="K1096" t="s">
        <v>117</v>
      </c>
      <c r="L1096" t="s">
        <v>117</v>
      </c>
      <c r="M1096">
        <v>0</v>
      </c>
      <c r="N1096">
        <v>0</v>
      </c>
      <c r="O1096">
        <v>5.7142857142857144</v>
      </c>
      <c r="P1096">
        <v>0</v>
      </c>
    </row>
    <row r="1097" spans="1:16" x14ac:dyDescent="0.45">
      <c r="A1097" t="s">
        <v>52</v>
      </c>
      <c r="B1097" t="s">
        <v>26</v>
      </c>
      <c r="C1097" t="s">
        <v>26</v>
      </c>
      <c r="D1097" t="s">
        <v>49</v>
      </c>
      <c r="E1097">
        <v>35</v>
      </c>
      <c r="F1097">
        <v>40</v>
      </c>
      <c r="G1097" t="s">
        <v>64</v>
      </c>
      <c r="H1097" t="s">
        <v>42</v>
      </c>
      <c r="I1097" s="24">
        <v>46104</v>
      </c>
      <c r="J1097" t="s">
        <v>117</v>
      </c>
      <c r="K1097" t="s">
        <v>117</v>
      </c>
      <c r="L1097" t="s">
        <v>117</v>
      </c>
      <c r="M1097">
        <v>8</v>
      </c>
      <c r="N1097">
        <v>280</v>
      </c>
      <c r="O1097">
        <v>5.7142857142857144</v>
      </c>
      <c r="P1097">
        <v>0</v>
      </c>
    </row>
    <row r="1098" spans="1:16" x14ac:dyDescent="0.45">
      <c r="A1098" t="s">
        <v>53</v>
      </c>
      <c r="B1098" t="s">
        <v>26</v>
      </c>
      <c r="C1098" t="s">
        <v>26</v>
      </c>
      <c r="D1098" t="s">
        <v>49</v>
      </c>
      <c r="E1098">
        <v>35</v>
      </c>
      <c r="F1098">
        <v>40</v>
      </c>
      <c r="G1098" t="s">
        <v>64</v>
      </c>
      <c r="H1098" t="s">
        <v>44</v>
      </c>
      <c r="I1098" s="24">
        <v>46104</v>
      </c>
      <c r="J1098" t="s">
        <v>117</v>
      </c>
      <c r="K1098" t="s">
        <v>117</v>
      </c>
      <c r="L1098" t="s">
        <v>117</v>
      </c>
      <c r="M1098">
        <v>8</v>
      </c>
      <c r="N1098">
        <v>280</v>
      </c>
      <c r="O1098">
        <v>5.7142857142857144</v>
      </c>
      <c r="P1098">
        <v>0</v>
      </c>
    </row>
    <row r="1099" spans="1:16" x14ac:dyDescent="0.45">
      <c r="A1099" t="s">
        <v>54</v>
      </c>
      <c r="B1099" t="s">
        <v>25</v>
      </c>
      <c r="C1099" t="s">
        <v>26</v>
      </c>
      <c r="D1099" t="s">
        <v>49</v>
      </c>
      <c r="E1099">
        <v>28</v>
      </c>
      <c r="F1099">
        <v>40</v>
      </c>
      <c r="G1099" t="s">
        <v>64</v>
      </c>
      <c r="H1099" t="s">
        <v>41</v>
      </c>
      <c r="I1099" s="24">
        <v>46104</v>
      </c>
      <c r="J1099" t="s">
        <v>117</v>
      </c>
      <c r="K1099" t="s">
        <v>117</v>
      </c>
      <c r="L1099" t="s">
        <v>117</v>
      </c>
      <c r="M1099">
        <v>0</v>
      </c>
      <c r="N1099">
        <v>0</v>
      </c>
      <c r="O1099">
        <v>5.7142857142857144</v>
      </c>
      <c r="P1099">
        <v>0</v>
      </c>
    </row>
    <row r="1100" spans="1:16" x14ac:dyDescent="0.45">
      <c r="A1100" t="s">
        <v>55</v>
      </c>
      <c r="B1100" t="s">
        <v>25</v>
      </c>
      <c r="C1100" t="s">
        <v>26</v>
      </c>
      <c r="D1100" t="s">
        <v>49</v>
      </c>
      <c r="E1100">
        <v>28</v>
      </c>
      <c r="F1100">
        <v>40</v>
      </c>
      <c r="G1100" t="s">
        <v>64</v>
      </c>
      <c r="H1100" t="s">
        <v>44</v>
      </c>
      <c r="I1100" s="24">
        <v>46104</v>
      </c>
      <c r="J1100" t="s">
        <v>117</v>
      </c>
      <c r="K1100" t="s">
        <v>117</v>
      </c>
      <c r="L1100" t="s">
        <v>117</v>
      </c>
      <c r="M1100">
        <v>8</v>
      </c>
      <c r="N1100">
        <v>224</v>
      </c>
      <c r="O1100">
        <v>5.7142857142857144</v>
      </c>
      <c r="P1100">
        <v>0</v>
      </c>
    </row>
    <row r="1101" spans="1:16" x14ac:dyDescent="0.45">
      <c r="A1101" t="s">
        <v>56</v>
      </c>
      <c r="B1101" t="s">
        <v>29</v>
      </c>
      <c r="C1101" t="s">
        <v>29</v>
      </c>
      <c r="D1101" t="s">
        <v>49</v>
      </c>
      <c r="E1101">
        <v>20</v>
      </c>
      <c r="F1101">
        <v>40</v>
      </c>
      <c r="G1101" t="s">
        <v>64</v>
      </c>
      <c r="H1101" t="s">
        <v>45</v>
      </c>
      <c r="I1101" s="24">
        <v>46104</v>
      </c>
      <c r="J1101" t="s">
        <v>117</v>
      </c>
      <c r="K1101" t="s">
        <v>117</v>
      </c>
      <c r="L1101" t="s">
        <v>117</v>
      </c>
      <c r="M1101">
        <v>8</v>
      </c>
      <c r="N1101">
        <v>160</v>
      </c>
      <c r="O1101">
        <v>5.7142857142857144</v>
      </c>
      <c r="P1101">
        <v>0</v>
      </c>
    </row>
    <row r="1102" spans="1:16" x14ac:dyDescent="0.45">
      <c r="A1102" t="s">
        <v>57</v>
      </c>
      <c r="B1102" t="s">
        <v>29</v>
      </c>
      <c r="C1102" t="s">
        <v>29</v>
      </c>
      <c r="D1102" t="s">
        <v>49</v>
      </c>
      <c r="E1102">
        <v>20</v>
      </c>
      <c r="F1102">
        <v>40</v>
      </c>
      <c r="G1102" t="s">
        <v>64</v>
      </c>
      <c r="H1102" t="s">
        <v>44</v>
      </c>
      <c r="I1102" s="24">
        <v>46104</v>
      </c>
      <c r="J1102" t="s">
        <v>117</v>
      </c>
      <c r="K1102" t="s">
        <v>117</v>
      </c>
      <c r="L1102" t="s">
        <v>117</v>
      </c>
      <c r="M1102">
        <v>8</v>
      </c>
      <c r="N1102">
        <v>160</v>
      </c>
      <c r="O1102">
        <v>5.7142857142857144</v>
      </c>
      <c r="P1102">
        <v>0</v>
      </c>
    </row>
    <row r="1103" spans="1:16" x14ac:dyDescent="0.45">
      <c r="A1103" t="s">
        <v>58</v>
      </c>
      <c r="B1103" t="s">
        <v>29</v>
      </c>
      <c r="C1103" t="s">
        <v>29</v>
      </c>
      <c r="D1103" t="s">
        <v>49</v>
      </c>
      <c r="E1103">
        <v>20</v>
      </c>
      <c r="F1103">
        <v>40</v>
      </c>
      <c r="G1103" t="s">
        <v>64</v>
      </c>
      <c r="H1103" t="s">
        <v>41</v>
      </c>
      <c r="I1103" s="24">
        <v>46104</v>
      </c>
      <c r="J1103" t="s">
        <v>117</v>
      </c>
      <c r="K1103" t="s">
        <v>117</v>
      </c>
      <c r="L1103" t="s">
        <v>117</v>
      </c>
      <c r="M1103">
        <v>0</v>
      </c>
      <c r="N1103">
        <v>0</v>
      </c>
      <c r="O1103">
        <v>5.7142857142857144</v>
      </c>
      <c r="P1103">
        <v>0</v>
      </c>
    </row>
    <row r="1104" spans="1:16" x14ac:dyDescent="0.45">
      <c r="A1104" t="s">
        <v>59</v>
      </c>
      <c r="B1104" t="s">
        <v>29</v>
      </c>
      <c r="C1104" t="s">
        <v>29</v>
      </c>
      <c r="D1104" t="s">
        <v>60</v>
      </c>
      <c r="E1104">
        <v>15</v>
      </c>
      <c r="F1104">
        <v>20</v>
      </c>
      <c r="G1104" t="s">
        <v>64</v>
      </c>
      <c r="H1104" t="s">
        <v>41</v>
      </c>
      <c r="I1104" s="24">
        <v>46104</v>
      </c>
      <c r="J1104" t="s">
        <v>117</v>
      </c>
      <c r="K1104" t="s">
        <v>117</v>
      </c>
      <c r="L1104" t="s">
        <v>117</v>
      </c>
      <c r="M1104">
        <v>0</v>
      </c>
      <c r="N1104">
        <v>0</v>
      </c>
      <c r="O1104">
        <v>2.8571428571428572</v>
      </c>
      <c r="P1104">
        <v>0</v>
      </c>
    </row>
    <row r="1105" spans="1:16" x14ac:dyDescent="0.45">
      <c r="A1105" t="s">
        <v>61</v>
      </c>
      <c r="B1105" t="s">
        <v>29</v>
      </c>
      <c r="C1105" t="s">
        <v>29</v>
      </c>
      <c r="D1105" t="s">
        <v>60</v>
      </c>
      <c r="E1105">
        <v>15</v>
      </c>
      <c r="F1105">
        <v>20</v>
      </c>
      <c r="G1105" t="s">
        <v>64</v>
      </c>
      <c r="H1105" t="s">
        <v>40</v>
      </c>
      <c r="I1105" s="24">
        <v>46104</v>
      </c>
      <c r="J1105" t="s">
        <v>117</v>
      </c>
      <c r="K1105" t="s">
        <v>117</v>
      </c>
      <c r="L1105" t="s">
        <v>117</v>
      </c>
      <c r="M1105">
        <v>5</v>
      </c>
      <c r="N1105">
        <v>75</v>
      </c>
      <c r="O1105">
        <v>2.8571428571428572</v>
      </c>
      <c r="P1105">
        <v>0</v>
      </c>
    </row>
    <row r="1106" spans="1:16" x14ac:dyDescent="0.45">
      <c r="A1106" t="s">
        <v>62</v>
      </c>
      <c r="B1106" t="s">
        <v>29</v>
      </c>
      <c r="C1106" t="s">
        <v>29</v>
      </c>
      <c r="D1106" t="s">
        <v>60</v>
      </c>
      <c r="E1106">
        <v>15</v>
      </c>
      <c r="F1106">
        <v>20</v>
      </c>
      <c r="G1106" t="s">
        <v>64</v>
      </c>
      <c r="H1106" t="s">
        <v>46</v>
      </c>
      <c r="I1106" s="24">
        <v>46104</v>
      </c>
      <c r="J1106" t="s">
        <v>117</v>
      </c>
      <c r="K1106" t="s">
        <v>117</v>
      </c>
      <c r="L1106" t="s">
        <v>117</v>
      </c>
      <c r="M1106">
        <v>5</v>
      </c>
      <c r="N1106">
        <v>75</v>
      </c>
      <c r="O1106">
        <v>2.8571428571428572</v>
      </c>
      <c r="P1106">
        <v>0</v>
      </c>
    </row>
    <row r="1107" spans="1:16" x14ac:dyDescent="0.45">
      <c r="A1107" t="s">
        <v>48</v>
      </c>
      <c r="B1107" t="s">
        <v>30</v>
      </c>
      <c r="C1107" t="s">
        <v>28</v>
      </c>
      <c r="D1107" t="s">
        <v>49</v>
      </c>
      <c r="E1107">
        <v>30</v>
      </c>
      <c r="F1107">
        <v>40</v>
      </c>
      <c r="G1107" t="s">
        <v>65</v>
      </c>
      <c r="H1107" t="s">
        <v>35</v>
      </c>
      <c r="I1107" s="24">
        <v>46105</v>
      </c>
      <c r="J1107" t="s">
        <v>117</v>
      </c>
      <c r="K1107" t="s">
        <v>117</v>
      </c>
      <c r="L1107" t="s">
        <v>117</v>
      </c>
      <c r="M1107">
        <v>7</v>
      </c>
      <c r="N1107">
        <v>210</v>
      </c>
      <c r="O1107">
        <v>5.7142857142857144</v>
      </c>
      <c r="P1107">
        <v>0</v>
      </c>
    </row>
    <row r="1108" spans="1:16" x14ac:dyDescent="0.45">
      <c r="A1108" t="s">
        <v>50</v>
      </c>
      <c r="B1108" t="s">
        <v>27</v>
      </c>
      <c r="C1108" t="s">
        <v>28</v>
      </c>
      <c r="D1108" t="s">
        <v>49</v>
      </c>
      <c r="E1108">
        <v>25</v>
      </c>
      <c r="F1108">
        <v>40</v>
      </c>
      <c r="G1108" t="s">
        <v>65</v>
      </c>
      <c r="H1108" t="s">
        <v>37</v>
      </c>
      <c r="I1108" s="24">
        <v>46105</v>
      </c>
      <c r="J1108" t="s">
        <v>117</v>
      </c>
      <c r="K1108" t="s">
        <v>117</v>
      </c>
      <c r="L1108" t="s">
        <v>117</v>
      </c>
      <c r="M1108">
        <v>7</v>
      </c>
      <c r="N1108">
        <v>175</v>
      </c>
      <c r="O1108">
        <v>5.7142857142857144</v>
      </c>
      <c r="P1108">
        <v>0</v>
      </c>
    </row>
    <row r="1109" spans="1:16" x14ac:dyDescent="0.45">
      <c r="A1109" t="s">
        <v>51</v>
      </c>
      <c r="B1109" t="s">
        <v>27</v>
      </c>
      <c r="C1109" t="s">
        <v>28</v>
      </c>
      <c r="D1109" t="s">
        <v>49</v>
      </c>
      <c r="E1109">
        <v>25</v>
      </c>
      <c r="F1109">
        <v>40</v>
      </c>
      <c r="G1109" t="s">
        <v>65</v>
      </c>
      <c r="H1109" t="s">
        <v>35</v>
      </c>
      <c r="I1109" s="24">
        <v>46105</v>
      </c>
      <c r="J1109" t="s">
        <v>117</v>
      </c>
      <c r="K1109" t="s">
        <v>117</v>
      </c>
      <c r="L1109" t="s">
        <v>117</v>
      </c>
      <c r="M1109">
        <v>7</v>
      </c>
      <c r="N1109">
        <v>175</v>
      </c>
      <c r="O1109">
        <v>5.7142857142857144</v>
      </c>
      <c r="P1109">
        <v>0</v>
      </c>
    </row>
    <row r="1110" spans="1:16" x14ac:dyDescent="0.45">
      <c r="A1110" t="s">
        <v>52</v>
      </c>
      <c r="B1110" t="s">
        <v>26</v>
      </c>
      <c r="C1110" t="s">
        <v>26</v>
      </c>
      <c r="D1110" t="s">
        <v>49</v>
      </c>
      <c r="E1110">
        <v>35</v>
      </c>
      <c r="F1110">
        <v>40</v>
      </c>
      <c r="G1110" t="s">
        <v>65</v>
      </c>
      <c r="H1110" t="s">
        <v>42</v>
      </c>
      <c r="I1110" s="24">
        <v>46105</v>
      </c>
      <c r="J1110" t="s">
        <v>117</v>
      </c>
      <c r="K1110" t="s">
        <v>117</v>
      </c>
      <c r="L1110" t="s">
        <v>117</v>
      </c>
      <c r="M1110">
        <v>8</v>
      </c>
      <c r="N1110">
        <v>280</v>
      </c>
      <c r="O1110">
        <v>5.7142857142857144</v>
      </c>
      <c r="P1110">
        <v>0</v>
      </c>
    </row>
    <row r="1111" spans="1:16" x14ac:dyDescent="0.45">
      <c r="A1111" t="s">
        <v>53</v>
      </c>
      <c r="B1111" t="s">
        <v>26</v>
      </c>
      <c r="C1111" t="s">
        <v>26</v>
      </c>
      <c r="D1111" t="s">
        <v>49</v>
      </c>
      <c r="E1111">
        <v>35</v>
      </c>
      <c r="F1111">
        <v>40</v>
      </c>
      <c r="G1111" t="s">
        <v>65</v>
      </c>
      <c r="H1111" t="s">
        <v>44</v>
      </c>
      <c r="I1111" s="24">
        <v>46105</v>
      </c>
      <c r="J1111" t="s">
        <v>117</v>
      </c>
      <c r="K1111" t="s">
        <v>117</v>
      </c>
      <c r="L1111" t="s">
        <v>117</v>
      </c>
      <c r="M1111">
        <v>8</v>
      </c>
      <c r="N1111">
        <v>280</v>
      </c>
      <c r="O1111">
        <v>5.7142857142857144</v>
      </c>
      <c r="P1111">
        <v>0</v>
      </c>
    </row>
    <row r="1112" spans="1:16" x14ac:dyDescent="0.45">
      <c r="A1112" t="s">
        <v>54</v>
      </c>
      <c r="B1112" t="s">
        <v>25</v>
      </c>
      <c r="C1112" t="s">
        <v>26</v>
      </c>
      <c r="D1112" t="s">
        <v>49</v>
      </c>
      <c r="E1112">
        <v>28</v>
      </c>
      <c r="F1112">
        <v>40</v>
      </c>
      <c r="G1112" t="s">
        <v>65</v>
      </c>
      <c r="H1112" t="s">
        <v>41</v>
      </c>
      <c r="I1112" s="24">
        <v>46105</v>
      </c>
      <c r="J1112" t="s">
        <v>117</v>
      </c>
      <c r="K1112" t="s">
        <v>117</v>
      </c>
      <c r="L1112" t="s">
        <v>117</v>
      </c>
      <c r="M1112">
        <v>0</v>
      </c>
      <c r="N1112">
        <v>0</v>
      </c>
      <c r="O1112">
        <v>5.7142857142857144</v>
      </c>
      <c r="P1112">
        <v>0</v>
      </c>
    </row>
    <row r="1113" spans="1:16" x14ac:dyDescent="0.45">
      <c r="A1113" t="s">
        <v>55</v>
      </c>
      <c r="B1113" t="s">
        <v>25</v>
      </c>
      <c r="C1113" t="s">
        <v>26</v>
      </c>
      <c r="D1113" t="s">
        <v>49</v>
      </c>
      <c r="E1113">
        <v>28</v>
      </c>
      <c r="F1113">
        <v>40</v>
      </c>
      <c r="G1113" t="s">
        <v>65</v>
      </c>
      <c r="H1113" t="s">
        <v>44</v>
      </c>
      <c r="I1113" s="24">
        <v>46105</v>
      </c>
      <c r="J1113" t="s">
        <v>117</v>
      </c>
      <c r="K1113" t="s">
        <v>117</v>
      </c>
      <c r="L1113" t="s">
        <v>117</v>
      </c>
      <c r="M1113">
        <v>8</v>
      </c>
      <c r="N1113">
        <v>224</v>
      </c>
      <c r="O1113">
        <v>5.7142857142857144</v>
      </c>
      <c r="P1113">
        <v>0</v>
      </c>
    </row>
    <row r="1114" spans="1:16" x14ac:dyDescent="0.45">
      <c r="A1114" t="s">
        <v>56</v>
      </c>
      <c r="B1114" t="s">
        <v>29</v>
      </c>
      <c r="C1114" t="s">
        <v>29</v>
      </c>
      <c r="D1114" t="s">
        <v>49</v>
      </c>
      <c r="E1114">
        <v>20</v>
      </c>
      <c r="F1114">
        <v>40</v>
      </c>
      <c r="G1114" t="s">
        <v>65</v>
      </c>
      <c r="H1114" t="s">
        <v>45</v>
      </c>
      <c r="I1114" s="24">
        <v>46105</v>
      </c>
      <c r="J1114" t="s">
        <v>117</v>
      </c>
      <c r="K1114" t="s">
        <v>117</v>
      </c>
      <c r="L1114" t="s">
        <v>117</v>
      </c>
      <c r="M1114">
        <v>8</v>
      </c>
      <c r="N1114">
        <v>160</v>
      </c>
      <c r="O1114">
        <v>5.7142857142857144</v>
      </c>
      <c r="P1114">
        <v>0</v>
      </c>
    </row>
    <row r="1115" spans="1:16" x14ac:dyDescent="0.45">
      <c r="A1115" t="s">
        <v>57</v>
      </c>
      <c r="B1115" t="s">
        <v>29</v>
      </c>
      <c r="C1115" t="s">
        <v>29</v>
      </c>
      <c r="D1115" t="s">
        <v>49</v>
      </c>
      <c r="E1115">
        <v>20</v>
      </c>
      <c r="F1115">
        <v>40</v>
      </c>
      <c r="G1115" t="s">
        <v>65</v>
      </c>
      <c r="H1115" t="s">
        <v>44</v>
      </c>
      <c r="I1115" s="24">
        <v>46105</v>
      </c>
      <c r="J1115" t="s">
        <v>117</v>
      </c>
      <c r="K1115" t="s">
        <v>117</v>
      </c>
      <c r="L1115" t="s">
        <v>117</v>
      </c>
      <c r="M1115">
        <v>8</v>
      </c>
      <c r="N1115">
        <v>160</v>
      </c>
      <c r="O1115">
        <v>5.7142857142857144</v>
      </c>
      <c r="P1115">
        <v>0</v>
      </c>
    </row>
    <row r="1116" spans="1:16" x14ac:dyDescent="0.45">
      <c r="A1116" t="s">
        <v>58</v>
      </c>
      <c r="B1116" t="s">
        <v>29</v>
      </c>
      <c r="C1116" t="s">
        <v>29</v>
      </c>
      <c r="D1116" t="s">
        <v>49</v>
      </c>
      <c r="E1116">
        <v>20</v>
      </c>
      <c r="F1116">
        <v>40</v>
      </c>
      <c r="G1116" t="s">
        <v>65</v>
      </c>
      <c r="H1116" t="s">
        <v>41</v>
      </c>
      <c r="I1116" s="24">
        <v>46105</v>
      </c>
      <c r="J1116" t="s">
        <v>117</v>
      </c>
      <c r="K1116" t="s">
        <v>117</v>
      </c>
      <c r="L1116" t="s">
        <v>117</v>
      </c>
      <c r="M1116">
        <v>0</v>
      </c>
      <c r="N1116">
        <v>0</v>
      </c>
      <c r="O1116">
        <v>5.7142857142857144</v>
      </c>
      <c r="P1116">
        <v>0</v>
      </c>
    </row>
    <row r="1117" spans="1:16" x14ac:dyDescent="0.45">
      <c r="A1117" t="s">
        <v>59</v>
      </c>
      <c r="B1117" t="s">
        <v>29</v>
      </c>
      <c r="C1117" t="s">
        <v>29</v>
      </c>
      <c r="D1117" t="s">
        <v>60</v>
      </c>
      <c r="E1117">
        <v>15</v>
      </c>
      <c r="F1117">
        <v>20</v>
      </c>
      <c r="G1117" t="s">
        <v>65</v>
      </c>
      <c r="H1117" t="s">
        <v>46</v>
      </c>
      <c r="I1117" s="24">
        <v>46105</v>
      </c>
      <c r="J1117" t="s">
        <v>117</v>
      </c>
      <c r="K1117" t="s">
        <v>117</v>
      </c>
      <c r="L1117" t="s">
        <v>117</v>
      </c>
      <c r="M1117">
        <v>5</v>
      </c>
      <c r="N1117">
        <v>75</v>
      </c>
      <c r="O1117">
        <v>2.8571428571428572</v>
      </c>
      <c r="P1117">
        <v>0</v>
      </c>
    </row>
    <row r="1118" spans="1:16" x14ac:dyDescent="0.45">
      <c r="A1118" t="s">
        <v>61</v>
      </c>
      <c r="B1118" t="s">
        <v>29</v>
      </c>
      <c r="C1118" t="s">
        <v>29</v>
      </c>
      <c r="D1118" t="s">
        <v>60</v>
      </c>
      <c r="E1118">
        <v>15</v>
      </c>
      <c r="F1118">
        <v>20</v>
      </c>
      <c r="G1118" t="s">
        <v>65</v>
      </c>
      <c r="H1118" t="s">
        <v>40</v>
      </c>
      <c r="I1118" s="24">
        <v>46105</v>
      </c>
      <c r="J1118" t="s">
        <v>117</v>
      </c>
      <c r="K1118" t="s">
        <v>117</v>
      </c>
      <c r="L1118" t="s">
        <v>117</v>
      </c>
      <c r="M1118">
        <v>5</v>
      </c>
      <c r="N1118">
        <v>75</v>
      </c>
      <c r="O1118">
        <v>2.8571428571428572</v>
      </c>
      <c r="P1118">
        <v>0</v>
      </c>
    </row>
    <row r="1119" spans="1:16" x14ac:dyDescent="0.45">
      <c r="A1119" t="s">
        <v>62</v>
      </c>
      <c r="B1119" t="s">
        <v>29</v>
      </c>
      <c r="C1119" t="s">
        <v>29</v>
      </c>
      <c r="D1119" t="s">
        <v>60</v>
      </c>
      <c r="E1119">
        <v>15</v>
      </c>
      <c r="F1119">
        <v>20</v>
      </c>
      <c r="G1119" t="s">
        <v>65</v>
      </c>
      <c r="H1119" t="s">
        <v>40</v>
      </c>
      <c r="I1119" s="24">
        <v>46105</v>
      </c>
      <c r="J1119" t="s">
        <v>117</v>
      </c>
      <c r="K1119" t="s">
        <v>117</v>
      </c>
      <c r="L1119" t="s">
        <v>117</v>
      </c>
      <c r="M1119">
        <v>5</v>
      </c>
      <c r="N1119">
        <v>75</v>
      </c>
      <c r="O1119">
        <v>2.8571428571428572</v>
      </c>
      <c r="P1119">
        <v>0</v>
      </c>
    </row>
    <row r="1120" spans="1:16" x14ac:dyDescent="0.45">
      <c r="A1120" t="s">
        <v>48</v>
      </c>
      <c r="B1120" t="s">
        <v>30</v>
      </c>
      <c r="C1120" t="s">
        <v>28</v>
      </c>
      <c r="D1120" t="s">
        <v>49</v>
      </c>
      <c r="E1120">
        <v>30</v>
      </c>
      <c r="F1120">
        <v>40</v>
      </c>
      <c r="G1120" t="s">
        <v>66</v>
      </c>
      <c r="H1120" t="s">
        <v>35</v>
      </c>
      <c r="I1120" s="24">
        <v>46106</v>
      </c>
      <c r="J1120" t="s">
        <v>117</v>
      </c>
      <c r="K1120" t="s">
        <v>117</v>
      </c>
      <c r="L1120" t="s">
        <v>117</v>
      </c>
      <c r="M1120">
        <v>7</v>
      </c>
      <c r="N1120">
        <v>210</v>
      </c>
      <c r="O1120">
        <v>5.7142857142857144</v>
      </c>
      <c r="P1120">
        <v>0</v>
      </c>
    </row>
    <row r="1121" spans="1:16" x14ac:dyDescent="0.45">
      <c r="A1121" t="s">
        <v>50</v>
      </c>
      <c r="B1121" t="s">
        <v>27</v>
      </c>
      <c r="C1121" t="s">
        <v>28</v>
      </c>
      <c r="D1121" t="s">
        <v>49</v>
      </c>
      <c r="E1121">
        <v>25</v>
      </c>
      <c r="F1121">
        <v>40</v>
      </c>
      <c r="G1121" t="s">
        <v>66</v>
      </c>
      <c r="H1121" t="s">
        <v>41</v>
      </c>
      <c r="I1121" s="24">
        <v>46106</v>
      </c>
      <c r="J1121" t="s">
        <v>117</v>
      </c>
      <c r="K1121" t="s">
        <v>117</v>
      </c>
      <c r="L1121" t="s">
        <v>117</v>
      </c>
      <c r="M1121">
        <v>0</v>
      </c>
      <c r="N1121">
        <v>0</v>
      </c>
      <c r="O1121">
        <v>5.7142857142857144</v>
      </c>
      <c r="P1121">
        <v>0</v>
      </c>
    </row>
    <row r="1122" spans="1:16" x14ac:dyDescent="0.45">
      <c r="A1122" t="s">
        <v>51</v>
      </c>
      <c r="B1122" t="s">
        <v>27</v>
      </c>
      <c r="C1122" t="s">
        <v>28</v>
      </c>
      <c r="D1122" t="s">
        <v>49</v>
      </c>
      <c r="E1122">
        <v>25</v>
      </c>
      <c r="F1122">
        <v>40</v>
      </c>
      <c r="G1122" t="s">
        <v>66</v>
      </c>
      <c r="H1122" t="s">
        <v>37</v>
      </c>
      <c r="I1122" s="24">
        <v>46106</v>
      </c>
      <c r="J1122" t="s">
        <v>117</v>
      </c>
      <c r="K1122" t="s">
        <v>117</v>
      </c>
      <c r="L1122" t="s">
        <v>117</v>
      </c>
      <c r="M1122">
        <v>7</v>
      </c>
      <c r="N1122">
        <v>175</v>
      </c>
      <c r="O1122">
        <v>5.7142857142857144</v>
      </c>
      <c r="P1122">
        <v>0</v>
      </c>
    </row>
    <row r="1123" spans="1:16" x14ac:dyDescent="0.45">
      <c r="A1123" t="s">
        <v>52</v>
      </c>
      <c r="B1123" t="s">
        <v>26</v>
      </c>
      <c r="C1123" t="s">
        <v>26</v>
      </c>
      <c r="D1123" t="s">
        <v>49</v>
      </c>
      <c r="E1123">
        <v>35</v>
      </c>
      <c r="F1123">
        <v>40</v>
      </c>
      <c r="G1123" t="s">
        <v>66</v>
      </c>
      <c r="H1123" t="s">
        <v>41</v>
      </c>
      <c r="I1123" s="24">
        <v>46106</v>
      </c>
      <c r="J1123" t="s">
        <v>117</v>
      </c>
      <c r="K1123" t="s">
        <v>117</v>
      </c>
      <c r="L1123" t="s">
        <v>117</v>
      </c>
      <c r="M1123">
        <v>0</v>
      </c>
      <c r="N1123">
        <v>0</v>
      </c>
      <c r="O1123">
        <v>5.7142857142857144</v>
      </c>
      <c r="P1123">
        <v>0</v>
      </c>
    </row>
    <row r="1124" spans="1:16" x14ac:dyDescent="0.45">
      <c r="A1124" t="s">
        <v>53</v>
      </c>
      <c r="B1124" t="s">
        <v>26</v>
      </c>
      <c r="C1124" t="s">
        <v>26</v>
      </c>
      <c r="D1124" t="s">
        <v>49</v>
      </c>
      <c r="E1124">
        <v>35</v>
      </c>
      <c r="F1124">
        <v>40</v>
      </c>
      <c r="G1124" t="s">
        <v>66</v>
      </c>
      <c r="H1124" t="s">
        <v>44</v>
      </c>
      <c r="I1124" s="24">
        <v>46106</v>
      </c>
      <c r="J1124" t="s">
        <v>117</v>
      </c>
      <c r="K1124" t="s">
        <v>117</v>
      </c>
      <c r="L1124" t="s">
        <v>117</v>
      </c>
      <c r="M1124">
        <v>8</v>
      </c>
      <c r="N1124">
        <v>280</v>
      </c>
      <c r="O1124">
        <v>5.7142857142857144</v>
      </c>
      <c r="P1124">
        <v>0</v>
      </c>
    </row>
    <row r="1125" spans="1:16" x14ac:dyDescent="0.45">
      <c r="A1125" t="s">
        <v>54</v>
      </c>
      <c r="B1125" t="s">
        <v>25</v>
      </c>
      <c r="C1125" t="s">
        <v>26</v>
      </c>
      <c r="D1125" t="s">
        <v>49</v>
      </c>
      <c r="E1125">
        <v>28</v>
      </c>
      <c r="F1125">
        <v>40</v>
      </c>
      <c r="G1125" t="s">
        <v>66</v>
      </c>
      <c r="H1125" t="s">
        <v>42</v>
      </c>
      <c r="I1125" s="24">
        <v>46106</v>
      </c>
      <c r="J1125" t="s">
        <v>117</v>
      </c>
      <c r="K1125" t="s">
        <v>117</v>
      </c>
      <c r="L1125" t="s">
        <v>117</v>
      </c>
      <c r="M1125">
        <v>8</v>
      </c>
      <c r="N1125">
        <v>224</v>
      </c>
      <c r="O1125">
        <v>5.7142857142857144</v>
      </c>
      <c r="P1125">
        <v>0</v>
      </c>
    </row>
    <row r="1126" spans="1:16" x14ac:dyDescent="0.45">
      <c r="A1126" t="s">
        <v>55</v>
      </c>
      <c r="B1126" t="s">
        <v>25</v>
      </c>
      <c r="C1126" t="s">
        <v>26</v>
      </c>
      <c r="D1126" t="s">
        <v>49</v>
      </c>
      <c r="E1126">
        <v>28</v>
      </c>
      <c r="F1126">
        <v>40</v>
      </c>
      <c r="G1126" t="s">
        <v>66</v>
      </c>
      <c r="H1126" t="s">
        <v>44</v>
      </c>
      <c r="I1126" s="24">
        <v>46106</v>
      </c>
      <c r="J1126" t="s">
        <v>117</v>
      </c>
      <c r="K1126" t="s">
        <v>117</v>
      </c>
      <c r="L1126" t="s">
        <v>117</v>
      </c>
      <c r="M1126">
        <v>8</v>
      </c>
      <c r="N1126">
        <v>224</v>
      </c>
      <c r="O1126">
        <v>5.7142857142857144</v>
      </c>
      <c r="P1126">
        <v>0</v>
      </c>
    </row>
    <row r="1127" spans="1:16" x14ac:dyDescent="0.45">
      <c r="A1127" t="s">
        <v>56</v>
      </c>
      <c r="B1127" t="s">
        <v>29</v>
      </c>
      <c r="C1127" t="s">
        <v>29</v>
      </c>
      <c r="D1127" t="s">
        <v>49</v>
      </c>
      <c r="E1127">
        <v>20</v>
      </c>
      <c r="F1127">
        <v>40</v>
      </c>
      <c r="G1127" t="s">
        <v>66</v>
      </c>
      <c r="H1127" t="s">
        <v>45</v>
      </c>
      <c r="I1127" s="24">
        <v>46106</v>
      </c>
      <c r="J1127" t="s">
        <v>117</v>
      </c>
      <c r="K1127" t="s">
        <v>117</v>
      </c>
      <c r="L1127" t="s">
        <v>117</v>
      </c>
      <c r="M1127">
        <v>8</v>
      </c>
      <c r="N1127">
        <v>160</v>
      </c>
      <c r="O1127">
        <v>5.7142857142857144</v>
      </c>
      <c r="P1127">
        <v>0</v>
      </c>
    </row>
    <row r="1128" spans="1:16" x14ac:dyDescent="0.45">
      <c r="A1128" t="s">
        <v>57</v>
      </c>
      <c r="B1128" t="s">
        <v>29</v>
      </c>
      <c r="C1128" t="s">
        <v>29</v>
      </c>
      <c r="D1128" t="s">
        <v>49</v>
      </c>
      <c r="E1128">
        <v>20</v>
      </c>
      <c r="F1128">
        <v>40</v>
      </c>
      <c r="G1128" t="s">
        <v>66</v>
      </c>
      <c r="H1128" t="s">
        <v>44</v>
      </c>
      <c r="I1128" s="24">
        <v>46106</v>
      </c>
      <c r="J1128" t="s">
        <v>117</v>
      </c>
      <c r="K1128" t="s">
        <v>117</v>
      </c>
      <c r="L1128" t="s">
        <v>117</v>
      </c>
      <c r="M1128">
        <v>8</v>
      </c>
      <c r="N1128">
        <v>160</v>
      </c>
      <c r="O1128">
        <v>5.7142857142857144</v>
      </c>
      <c r="P1128">
        <v>0</v>
      </c>
    </row>
    <row r="1129" spans="1:16" x14ac:dyDescent="0.45">
      <c r="A1129" t="s">
        <v>58</v>
      </c>
      <c r="B1129" t="s">
        <v>29</v>
      </c>
      <c r="C1129" t="s">
        <v>29</v>
      </c>
      <c r="D1129" t="s">
        <v>49</v>
      </c>
      <c r="E1129">
        <v>20</v>
      </c>
      <c r="F1129">
        <v>40</v>
      </c>
      <c r="G1129" t="s">
        <v>66</v>
      </c>
      <c r="H1129" t="s">
        <v>45</v>
      </c>
      <c r="I1129" s="24">
        <v>46106</v>
      </c>
      <c r="J1129" t="s">
        <v>117</v>
      </c>
      <c r="K1129" t="s">
        <v>117</v>
      </c>
      <c r="L1129" t="s">
        <v>117</v>
      </c>
      <c r="M1129">
        <v>8</v>
      </c>
      <c r="N1129">
        <v>160</v>
      </c>
      <c r="O1129">
        <v>5.7142857142857144</v>
      </c>
      <c r="P1129">
        <v>0</v>
      </c>
    </row>
    <row r="1130" spans="1:16" x14ac:dyDescent="0.45">
      <c r="A1130" t="s">
        <v>59</v>
      </c>
      <c r="B1130" t="s">
        <v>29</v>
      </c>
      <c r="C1130" t="s">
        <v>29</v>
      </c>
      <c r="D1130" t="s">
        <v>60</v>
      </c>
      <c r="E1130">
        <v>15</v>
      </c>
      <c r="F1130">
        <v>20</v>
      </c>
      <c r="G1130" t="s">
        <v>66</v>
      </c>
      <c r="H1130" t="s">
        <v>46</v>
      </c>
      <c r="I1130" s="24">
        <v>46106</v>
      </c>
      <c r="J1130" t="s">
        <v>117</v>
      </c>
      <c r="K1130" t="s">
        <v>117</v>
      </c>
      <c r="L1130" t="s">
        <v>117</v>
      </c>
      <c r="M1130">
        <v>5</v>
      </c>
      <c r="N1130">
        <v>75</v>
      </c>
      <c r="O1130">
        <v>2.8571428571428572</v>
      </c>
      <c r="P1130">
        <v>0</v>
      </c>
    </row>
    <row r="1131" spans="1:16" x14ac:dyDescent="0.45">
      <c r="A1131" t="s">
        <v>61</v>
      </c>
      <c r="B1131" t="s">
        <v>29</v>
      </c>
      <c r="C1131" t="s">
        <v>29</v>
      </c>
      <c r="D1131" t="s">
        <v>60</v>
      </c>
      <c r="E1131">
        <v>15</v>
      </c>
      <c r="F1131">
        <v>20</v>
      </c>
      <c r="G1131" t="s">
        <v>66</v>
      </c>
      <c r="H1131" t="s">
        <v>41</v>
      </c>
      <c r="I1131" s="24">
        <v>46106</v>
      </c>
      <c r="J1131" t="s">
        <v>117</v>
      </c>
      <c r="K1131" t="s">
        <v>117</v>
      </c>
      <c r="L1131" t="s">
        <v>117</v>
      </c>
      <c r="M1131">
        <v>0</v>
      </c>
      <c r="N1131">
        <v>0</v>
      </c>
      <c r="O1131">
        <v>2.8571428571428572</v>
      </c>
      <c r="P1131">
        <v>0</v>
      </c>
    </row>
    <row r="1132" spans="1:16" x14ac:dyDescent="0.45">
      <c r="A1132" t="s">
        <v>62</v>
      </c>
      <c r="B1132" t="s">
        <v>29</v>
      </c>
      <c r="C1132" t="s">
        <v>29</v>
      </c>
      <c r="D1132" t="s">
        <v>60</v>
      </c>
      <c r="E1132">
        <v>15</v>
      </c>
      <c r="F1132">
        <v>20</v>
      </c>
      <c r="G1132" t="s">
        <v>66</v>
      </c>
      <c r="H1132" t="s">
        <v>41</v>
      </c>
      <c r="I1132" s="24">
        <v>46106</v>
      </c>
      <c r="J1132" t="s">
        <v>117</v>
      </c>
      <c r="K1132" t="s">
        <v>117</v>
      </c>
      <c r="L1132" t="s">
        <v>117</v>
      </c>
      <c r="M1132">
        <v>0</v>
      </c>
      <c r="N1132">
        <v>0</v>
      </c>
      <c r="O1132">
        <v>2.8571428571428572</v>
      </c>
      <c r="P1132">
        <v>0</v>
      </c>
    </row>
    <row r="1133" spans="1:16" x14ac:dyDescent="0.45">
      <c r="A1133" t="s">
        <v>48</v>
      </c>
      <c r="B1133" t="s">
        <v>30</v>
      </c>
      <c r="C1133" t="s">
        <v>28</v>
      </c>
      <c r="D1133" t="s">
        <v>49</v>
      </c>
      <c r="E1133">
        <v>30</v>
      </c>
      <c r="F1133">
        <v>40</v>
      </c>
      <c r="G1133" t="s">
        <v>67</v>
      </c>
      <c r="H1133" t="s">
        <v>41</v>
      </c>
      <c r="I1133" s="24">
        <v>46107</v>
      </c>
      <c r="J1133" t="s">
        <v>117</v>
      </c>
      <c r="K1133" t="s">
        <v>117</v>
      </c>
      <c r="L1133" t="s">
        <v>117</v>
      </c>
      <c r="M1133">
        <v>0</v>
      </c>
      <c r="N1133">
        <v>0</v>
      </c>
      <c r="O1133">
        <v>5.7142857142857144</v>
      </c>
      <c r="P1133">
        <v>0</v>
      </c>
    </row>
    <row r="1134" spans="1:16" x14ac:dyDescent="0.45">
      <c r="A1134" t="s">
        <v>50</v>
      </c>
      <c r="B1134" t="s">
        <v>27</v>
      </c>
      <c r="C1134" t="s">
        <v>28</v>
      </c>
      <c r="D1134" t="s">
        <v>49</v>
      </c>
      <c r="E1134">
        <v>25</v>
      </c>
      <c r="F1134">
        <v>40</v>
      </c>
      <c r="G1134" t="s">
        <v>67</v>
      </c>
      <c r="H1134" t="s">
        <v>37</v>
      </c>
      <c r="I1134" s="24">
        <v>46107</v>
      </c>
      <c r="J1134" t="s">
        <v>117</v>
      </c>
      <c r="K1134" t="s">
        <v>117</v>
      </c>
      <c r="L1134" t="s">
        <v>117</v>
      </c>
      <c r="M1134">
        <v>7</v>
      </c>
      <c r="N1134">
        <v>175</v>
      </c>
      <c r="O1134">
        <v>5.7142857142857144</v>
      </c>
      <c r="P1134">
        <v>0</v>
      </c>
    </row>
    <row r="1135" spans="1:16" x14ac:dyDescent="0.45">
      <c r="A1135" t="s">
        <v>51</v>
      </c>
      <c r="B1135" t="s">
        <v>27</v>
      </c>
      <c r="C1135" t="s">
        <v>28</v>
      </c>
      <c r="D1135" t="s">
        <v>49</v>
      </c>
      <c r="E1135">
        <v>25</v>
      </c>
      <c r="F1135">
        <v>40</v>
      </c>
      <c r="G1135" t="s">
        <v>67</v>
      </c>
      <c r="H1135" t="s">
        <v>37</v>
      </c>
      <c r="I1135" s="24">
        <v>46107</v>
      </c>
      <c r="J1135" t="s">
        <v>117</v>
      </c>
      <c r="K1135" t="s">
        <v>117</v>
      </c>
      <c r="L1135" t="s">
        <v>117</v>
      </c>
      <c r="M1135">
        <v>7</v>
      </c>
      <c r="N1135">
        <v>175</v>
      </c>
      <c r="O1135">
        <v>5.7142857142857144</v>
      </c>
      <c r="P1135">
        <v>0</v>
      </c>
    </row>
    <row r="1136" spans="1:16" x14ac:dyDescent="0.45">
      <c r="A1136" t="s">
        <v>52</v>
      </c>
      <c r="B1136" t="s">
        <v>26</v>
      </c>
      <c r="C1136" t="s">
        <v>26</v>
      </c>
      <c r="D1136" t="s">
        <v>49</v>
      </c>
      <c r="E1136">
        <v>35</v>
      </c>
      <c r="F1136">
        <v>40</v>
      </c>
      <c r="G1136" t="s">
        <v>67</v>
      </c>
      <c r="H1136" t="s">
        <v>44</v>
      </c>
      <c r="I1136" s="24">
        <v>46107</v>
      </c>
      <c r="J1136" t="s">
        <v>117</v>
      </c>
      <c r="K1136" t="s">
        <v>117</v>
      </c>
      <c r="L1136" t="s">
        <v>117</v>
      </c>
      <c r="M1136">
        <v>8</v>
      </c>
      <c r="N1136">
        <v>280</v>
      </c>
      <c r="O1136">
        <v>5.7142857142857144</v>
      </c>
      <c r="P1136">
        <v>0</v>
      </c>
    </row>
    <row r="1137" spans="1:16" x14ac:dyDescent="0.45">
      <c r="A1137" t="s">
        <v>53</v>
      </c>
      <c r="B1137" t="s">
        <v>26</v>
      </c>
      <c r="C1137" t="s">
        <v>26</v>
      </c>
      <c r="D1137" t="s">
        <v>49</v>
      </c>
      <c r="E1137">
        <v>35</v>
      </c>
      <c r="F1137">
        <v>40</v>
      </c>
      <c r="G1137" t="s">
        <v>67</v>
      </c>
      <c r="H1137" t="s">
        <v>41</v>
      </c>
      <c r="I1137" s="24">
        <v>46107</v>
      </c>
      <c r="J1137" t="s">
        <v>117</v>
      </c>
      <c r="K1137" t="s">
        <v>117</v>
      </c>
      <c r="L1137" t="s">
        <v>117</v>
      </c>
      <c r="M1137">
        <v>0</v>
      </c>
      <c r="N1137">
        <v>0</v>
      </c>
      <c r="O1137">
        <v>5.7142857142857144</v>
      </c>
      <c r="P1137">
        <v>0</v>
      </c>
    </row>
    <row r="1138" spans="1:16" x14ac:dyDescent="0.45">
      <c r="A1138" t="s">
        <v>54</v>
      </c>
      <c r="B1138" t="s">
        <v>25</v>
      </c>
      <c r="C1138" t="s">
        <v>26</v>
      </c>
      <c r="D1138" t="s">
        <v>49</v>
      </c>
      <c r="E1138">
        <v>28</v>
      </c>
      <c r="F1138">
        <v>40</v>
      </c>
      <c r="G1138" t="s">
        <v>67</v>
      </c>
      <c r="H1138" t="s">
        <v>42</v>
      </c>
      <c r="I1138" s="24">
        <v>46107</v>
      </c>
      <c r="J1138" t="s">
        <v>117</v>
      </c>
      <c r="K1138" t="s">
        <v>117</v>
      </c>
      <c r="L1138" t="s">
        <v>117</v>
      </c>
      <c r="M1138">
        <v>8</v>
      </c>
      <c r="N1138">
        <v>224</v>
      </c>
      <c r="O1138">
        <v>5.7142857142857144</v>
      </c>
      <c r="P1138">
        <v>0</v>
      </c>
    </row>
    <row r="1139" spans="1:16" x14ac:dyDescent="0.45">
      <c r="A1139" t="s">
        <v>55</v>
      </c>
      <c r="B1139" t="s">
        <v>25</v>
      </c>
      <c r="C1139" t="s">
        <v>26</v>
      </c>
      <c r="D1139" t="s">
        <v>49</v>
      </c>
      <c r="E1139">
        <v>28</v>
      </c>
      <c r="F1139">
        <v>40</v>
      </c>
      <c r="G1139" t="s">
        <v>67</v>
      </c>
      <c r="H1139" t="s">
        <v>44</v>
      </c>
      <c r="I1139" s="24">
        <v>46107</v>
      </c>
      <c r="J1139" t="s">
        <v>117</v>
      </c>
      <c r="K1139" t="s">
        <v>117</v>
      </c>
      <c r="L1139" t="s">
        <v>117</v>
      </c>
      <c r="M1139">
        <v>8</v>
      </c>
      <c r="N1139">
        <v>224</v>
      </c>
      <c r="O1139">
        <v>5.7142857142857144</v>
      </c>
      <c r="P1139">
        <v>0</v>
      </c>
    </row>
    <row r="1140" spans="1:16" x14ac:dyDescent="0.45">
      <c r="A1140" t="s">
        <v>56</v>
      </c>
      <c r="B1140" t="s">
        <v>29</v>
      </c>
      <c r="C1140" t="s">
        <v>29</v>
      </c>
      <c r="D1140" t="s">
        <v>49</v>
      </c>
      <c r="E1140">
        <v>20</v>
      </c>
      <c r="F1140">
        <v>40</v>
      </c>
      <c r="G1140" t="s">
        <v>67</v>
      </c>
      <c r="H1140" t="s">
        <v>41</v>
      </c>
      <c r="I1140" s="24">
        <v>46107</v>
      </c>
      <c r="J1140" t="s">
        <v>117</v>
      </c>
      <c r="K1140" t="s">
        <v>117</v>
      </c>
      <c r="L1140" t="s">
        <v>117</v>
      </c>
      <c r="M1140">
        <v>0</v>
      </c>
      <c r="N1140">
        <v>0</v>
      </c>
      <c r="O1140">
        <v>5.7142857142857144</v>
      </c>
      <c r="P1140">
        <v>0</v>
      </c>
    </row>
    <row r="1141" spans="1:16" x14ac:dyDescent="0.45">
      <c r="A1141" t="s">
        <v>57</v>
      </c>
      <c r="B1141" t="s">
        <v>29</v>
      </c>
      <c r="C1141" t="s">
        <v>29</v>
      </c>
      <c r="D1141" t="s">
        <v>49</v>
      </c>
      <c r="E1141">
        <v>20</v>
      </c>
      <c r="F1141">
        <v>40</v>
      </c>
      <c r="G1141" t="s">
        <v>67</v>
      </c>
      <c r="H1141" t="s">
        <v>44</v>
      </c>
      <c r="I1141" s="24">
        <v>46107</v>
      </c>
      <c r="J1141" t="s">
        <v>117</v>
      </c>
      <c r="K1141" t="s">
        <v>117</v>
      </c>
      <c r="L1141" t="s">
        <v>117</v>
      </c>
      <c r="M1141">
        <v>8</v>
      </c>
      <c r="N1141">
        <v>160</v>
      </c>
      <c r="O1141">
        <v>5.7142857142857144</v>
      </c>
      <c r="P1141">
        <v>0</v>
      </c>
    </row>
    <row r="1142" spans="1:16" x14ac:dyDescent="0.45">
      <c r="A1142" t="s">
        <v>58</v>
      </c>
      <c r="B1142" t="s">
        <v>29</v>
      </c>
      <c r="C1142" t="s">
        <v>29</v>
      </c>
      <c r="D1142" t="s">
        <v>49</v>
      </c>
      <c r="E1142">
        <v>20</v>
      </c>
      <c r="F1142">
        <v>40</v>
      </c>
      <c r="G1142" t="s">
        <v>67</v>
      </c>
      <c r="H1142" t="s">
        <v>45</v>
      </c>
      <c r="I1142" s="24">
        <v>46107</v>
      </c>
      <c r="J1142" t="s">
        <v>117</v>
      </c>
      <c r="K1142" t="s">
        <v>117</v>
      </c>
      <c r="L1142" t="s">
        <v>117</v>
      </c>
      <c r="M1142">
        <v>8</v>
      </c>
      <c r="N1142">
        <v>160</v>
      </c>
      <c r="O1142">
        <v>5.7142857142857144</v>
      </c>
      <c r="P1142">
        <v>0</v>
      </c>
    </row>
    <row r="1143" spans="1:16" x14ac:dyDescent="0.45">
      <c r="A1143" t="s">
        <v>59</v>
      </c>
      <c r="B1143" t="s">
        <v>29</v>
      </c>
      <c r="C1143" t="s">
        <v>29</v>
      </c>
      <c r="D1143" t="s">
        <v>60</v>
      </c>
      <c r="E1143">
        <v>15</v>
      </c>
      <c r="F1143">
        <v>20</v>
      </c>
      <c r="G1143" t="s">
        <v>67</v>
      </c>
      <c r="H1143" t="s">
        <v>46</v>
      </c>
      <c r="I1143" s="24">
        <v>46107</v>
      </c>
      <c r="J1143" t="s">
        <v>117</v>
      </c>
      <c r="K1143" t="s">
        <v>117</v>
      </c>
      <c r="L1143" t="s">
        <v>117</v>
      </c>
      <c r="M1143">
        <v>5</v>
      </c>
      <c r="N1143">
        <v>75</v>
      </c>
      <c r="O1143">
        <v>2.8571428571428572</v>
      </c>
      <c r="P1143">
        <v>0</v>
      </c>
    </row>
    <row r="1144" spans="1:16" x14ac:dyDescent="0.45">
      <c r="A1144" t="s">
        <v>61</v>
      </c>
      <c r="B1144" t="s">
        <v>29</v>
      </c>
      <c r="C1144" t="s">
        <v>29</v>
      </c>
      <c r="D1144" t="s">
        <v>60</v>
      </c>
      <c r="E1144">
        <v>15</v>
      </c>
      <c r="F1144">
        <v>20</v>
      </c>
      <c r="G1144" t="s">
        <v>67</v>
      </c>
      <c r="H1144" t="s">
        <v>41</v>
      </c>
      <c r="I1144" s="24">
        <v>46107</v>
      </c>
      <c r="J1144" t="s">
        <v>117</v>
      </c>
      <c r="K1144" t="s">
        <v>117</v>
      </c>
      <c r="L1144" t="s">
        <v>117</v>
      </c>
      <c r="M1144">
        <v>0</v>
      </c>
      <c r="N1144">
        <v>0</v>
      </c>
      <c r="O1144">
        <v>2.8571428571428572</v>
      </c>
      <c r="P1144">
        <v>0</v>
      </c>
    </row>
    <row r="1145" spans="1:16" x14ac:dyDescent="0.45">
      <c r="A1145" t="s">
        <v>62</v>
      </c>
      <c r="B1145" t="s">
        <v>29</v>
      </c>
      <c r="C1145" t="s">
        <v>29</v>
      </c>
      <c r="D1145" t="s">
        <v>60</v>
      </c>
      <c r="E1145">
        <v>15</v>
      </c>
      <c r="F1145">
        <v>20</v>
      </c>
      <c r="G1145" t="s">
        <v>67</v>
      </c>
      <c r="H1145" t="s">
        <v>41</v>
      </c>
      <c r="I1145" s="24">
        <v>46107</v>
      </c>
      <c r="J1145" t="s">
        <v>117</v>
      </c>
      <c r="K1145" t="s">
        <v>117</v>
      </c>
      <c r="L1145" t="s">
        <v>117</v>
      </c>
      <c r="M1145">
        <v>0</v>
      </c>
      <c r="N1145">
        <v>0</v>
      </c>
      <c r="O1145">
        <v>2.8571428571428572</v>
      </c>
      <c r="P1145">
        <v>0</v>
      </c>
    </row>
    <row r="1146" spans="1:16" x14ac:dyDescent="0.45">
      <c r="A1146" t="s">
        <v>48</v>
      </c>
      <c r="B1146" t="s">
        <v>30</v>
      </c>
      <c r="C1146" t="s">
        <v>28</v>
      </c>
      <c r="D1146" t="s">
        <v>49</v>
      </c>
      <c r="E1146">
        <v>30</v>
      </c>
      <c r="F1146">
        <v>40</v>
      </c>
      <c r="G1146" t="s">
        <v>68</v>
      </c>
      <c r="H1146" t="s">
        <v>41</v>
      </c>
      <c r="I1146" s="24">
        <v>46108</v>
      </c>
      <c r="J1146" t="s">
        <v>118</v>
      </c>
      <c r="K1146" t="s">
        <v>117</v>
      </c>
      <c r="L1146" t="s">
        <v>118</v>
      </c>
      <c r="M1146">
        <v>0</v>
      </c>
      <c r="N1146">
        <v>0</v>
      </c>
      <c r="O1146">
        <v>5.7142857142857144</v>
      </c>
      <c r="P1146">
        <v>0</v>
      </c>
    </row>
    <row r="1147" spans="1:16" x14ac:dyDescent="0.45">
      <c r="A1147" t="s">
        <v>50</v>
      </c>
      <c r="B1147" t="s">
        <v>27</v>
      </c>
      <c r="C1147" t="s">
        <v>28</v>
      </c>
      <c r="D1147" t="s">
        <v>49</v>
      </c>
      <c r="E1147">
        <v>25</v>
      </c>
      <c r="F1147">
        <v>40</v>
      </c>
      <c r="G1147" t="s">
        <v>68</v>
      </c>
      <c r="H1147" t="s">
        <v>37</v>
      </c>
      <c r="I1147" s="24">
        <v>46108</v>
      </c>
      <c r="J1147" t="s">
        <v>118</v>
      </c>
      <c r="K1147" t="s">
        <v>117</v>
      </c>
      <c r="L1147" t="s">
        <v>118</v>
      </c>
      <c r="M1147">
        <v>7</v>
      </c>
      <c r="N1147">
        <v>262.5</v>
      </c>
      <c r="O1147">
        <v>5.7142857142857144</v>
      </c>
      <c r="P1147">
        <v>1</v>
      </c>
    </row>
    <row r="1148" spans="1:16" x14ac:dyDescent="0.45">
      <c r="A1148" t="s">
        <v>51</v>
      </c>
      <c r="B1148" t="s">
        <v>27</v>
      </c>
      <c r="C1148" t="s">
        <v>28</v>
      </c>
      <c r="D1148" t="s">
        <v>49</v>
      </c>
      <c r="E1148">
        <v>25</v>
      </c>
      <c r="F1148">
        <v>40</v>
      </c>
      <c r="G1148" t="s">
        <v>68</v>
      </c>
      <c r="H1148" t="s">
        <v>37</v>
      </c>
      <c r="I1148" s="24">
        <v>46108</v>
      </c>
      <c r="J1148" t="s">
        <v>118</v>
      </c>
      <c r="K1148" t="s">
        <v>117</v>
      </c>
      <c r="L1148" t="s">
        <v>118</v>
      </c>
      <c r="M1148">
        <v>7</v>
      </c>
      <c r="N1148">
        <v>262.5</v>
      </c>
      <c r="O1148">
        <v>5.7142857142857144</v>
      </c>
      <c r="P1148">
        <v>1</v>
      </c>
    </row>
    <row r="1149" spans="1:16" x14ac:dyDescent="0.45">
      <c r="A1149" t="s">
        <v>52</v>
      </c>
      <c r="B1149" t="s">
        <v>26</v>
      </c>
      <c r="C1149" t="s">
        <v>26</v>
      </c>
      <c r="D1149" t="s">
        <v>49</v>
      </c>
      <c r="E1149">
        <v>35</v>
      </c>
      <c r="F1149">
        <v>40</v>
      </c>
      <c r="G1149" t="s">
        <v>68</v>
      </c>
      <c r="H1149" t="s">
        <v>44</v>
      </c>
      <c r="I1149" s="24">
        <v>46108</v>
      </c>
      <c r="J1149" t="s">
        <v>118</v>
      </c>
      <c r="K1149" t="s">
        <v>117</v>
      </c>
      <c r="L1149" t="s">
        <v>118</v>
      </c>
      <c r="M1149">
        <v>8</v>
      </c>
      <c r="N1149">
        <v>420</v>
      </c>
      <c r="O1149">
        <v>5.7142857142857144</v>
      </c>
      <c r="P1149">
        <v>1</v>
      </c>
    </row>
    <row r="1150" spans="1:16" x14ac:dyDescent="0.45">
      <c r="A1150" t="s">
        <v>53</v>
      </c>
      <c r="B1150" t="s">
        <v>26</v>
      </c>
      <c r="C1150" t="s">
        <v>26</v>
      </c>
      <c r="D1150" t="s">
        <v>49</v>
      </c>
      <c r="E1150">
        <v>35</v>
      </c>
      <c r="F1150">
        <v>40</v>
      </c>
      <c r="G1150" t="s">
        <v>68</v>
      </c>
      <c r="H1150" t="s">
        <v>41</v>
      </c>
      <c r="I1150" s="24">
        <v>46108</v>
      </c>
      <c r="J1150" t="s">
        <v>118</v>
      </c>
      <c r="K1150" t="s">
        <v>117</v>
      </c>
      <c r="L1150" t="s">
        <v>118</v>
      </c>
      <c r="M1150">
        <v>0</v>
      </c>
      <c r="N1150">
        <v>0</v>
      </c>
      <c r="O1150">
        <v>5.7142857142857144</v>
      </c>
      <c r="P1150">
        <v>0</v>
      </c>
    </row>
    <row r="1151" spans="1:16" x14ac:dyDescent="0.45">
      <c r="A1151" t="s">
        <v>54</v>
      </c>
      <c r="B1151" t="s">
        <v>25</v>
      </c>
      <c r="C1151" t="s">
        <v>26</v>
      </c>
      <c r="D1151" t="s">
        <v>49</v>
      </c>
      <c r="E1151">
        <v>28</v>
      </c>
      <c r="F1151">
        <v>40</v>
      </c>
      <c r="G1151" t="s">
        <v>68</v>
      </c>
      <c r="H1151" t="s">
        <v>42</v>
      </c>
      <c r="I1151" s="24">
        <v>46108</v>
      </c>
      <c r="J1151" t="s">
        <v>118</v>
      </c>
      <c r="K1151" t="s">
        <v>117</v>
      </c>
      <c r="L1151" t="s">
        <v>118</v>
      </c>
      <c r="M1151">
        <v>8</v>
      </c>
      <c r="N1151">
        <v>336</v>
      </c>
      <c r="O1151">
        <v>5.7142857142857144</v>
      </c>
      <c r="P1151">
        <v>1</v>
      </c>
    </row>
    <row r="1152" spans="1:16" x14ac:dyDescent="0.45">
      <c r="A1152" t="s">
        <v>55</v>
      </c>
      <c r="B1152" t="s">
        <v>25</v>
      </c>
      <c r="C1152" t="s">
        <v>26</v>
      </c>
      <c r="D1152" t="s">
        <v>49</v>
      </c>
      <c r="E1152">
        <v>28</v>
      </c>
      <c r="F1152">
        <v>40</v>
      </c>
      <c r="G1152" t="s">
        <v>68</v>
      </c>
      <c r="H1152" t="s">
        <v>44</v>
      </c>
      <c r="I1152" s="24">
        <v>46108</v>
      </c>
      <c r="J1152" t="s">
        <v>118</v>
      </c>
      <c r="K1152" t="s">
        <v>117</v>
      </c>
      <c r="L1152" t="s">
        <v>118</v>
      </c>
      <c r="M1152">
        <v>8</v>
      </c>
      <c r="N1152">
        <v>336</v>
      </c>
      <c r="O1152">
        <v>5.7142857142857144</v>
      </c>
      <c r="P1152">
        <v>1</v>
      </c>
    </row>
    <row r="1153" spans="1:16" x14ac:dyDescent="0.45">
      <c r="A1153" t="s">
        <v>56</v>
      </c>
      <c r="B1153" t="s">
        <v>29</v>
      </c>
      <c r="C1153" t="s">
        <v>29</v>
      </c>
      <c r="D1153" t="s">
        <v>49</v>
      </c>
      <c r="E1153">
        <v>20</v>
      </c>
      <c r="F1153">
        <v>40</v>
      </c>
      <c r="G1153" t="s">
        <v>68</v>
      </c>
      <c r="H1153" t="s">
        <v>41</v>
      </c>
      <c r="I1153" s="24">
        <v>46108</v>
      </c>
      <c r="J1153" t="s">
        <v>118</v>
      </c>
      <c r="K1153" t="s">
        <v>117</v>
      </c>
      <c r="L1153" t="s">
        <v>118</v>
      </c>
      <c r="M1153">
        <v>0</v>
      </c>
      <c r="N1153">
        <v>0</v>
      </c>
      <c r="O1153">
        <v>5.7142857142857144</v>
      </c>
      <c r="P1153">
        <v>0</v>
      </c>
    </row>
    <row r="1154" spans="1:16" x14ac:dyDescent="0.45">
      <c r="A1154" t="s">
        <v>57</v>
      </c>
      <c r="B1154" t="s">
        <v>29</v>
      </c>
      <c r="C1154" t="s">
        <v>29</v>
      </c>
      <c r="D1154" t="s">
        <v>49</v>
      </c>
      <c r="E1154">
        <v>20</v>
      </c>
      <c r="F1154">
        <v>40</v>
      </c>
      <c r="G1154" t="s">
        <v>68</v>
      </c>
      <c r="H1154" t="s">
        <v>44</v>
      </c>
      <c r="I1154" s="24">
        <v>46108</v>
      </c>
      <c r="J1154" t="s">
        <v>118</v>
      </c>
      <c r="K1154" t="s">
        <v>117</v>
      </c>
      <c r="L1154" t="s">
        <v>118</v>
      </c>
      <c r="M1154">
        <v>8</v>
      </c>
      <c r="N1154">
        <v>240</v>
      </c>
      <c r="O1154">
        <v>5.7142857142857144</v>
      </c>
      <c r="P1154">
        <v>1</v>
      </c>
    </row>
    <row r="1155" spans="1:16" x14ac:dyDescent="0.45">
      <c r="A1155" t="s">
        <v>58</v>
      </c>
      <c r="B1155" t="s">
        <v>29</v>
      </c>
      <c r="C1155" t="s">
        <v>29</v>
      </c>
      <c r="D1155" t="s">
        <v>49</v>
      </c>
      <c r="E1155">
        <v>20</v>
      </c>
      <c r="F1155">
        <v>40</v>
      </c>
      <c r="G1155" t="s">
        <v>68</v>
      </c>
      <c r="H1155" t="s">
        <v>45</v>
      </c>
      <c r="I1155" s="24">
        <v>46108</v>
      </c>
      <c r="J1155" t="s">
        <v>118</v>
      </c>
      <c r="K1155" t="s">
        <v>117</v>
      </c>
      <c r="L1155" t="s">
        <v>118</v>
      </c>
      <c r="M1155">
        <v>8</v>
      </c>
      <c r="N1155">
        <v>240</v>
      </c>
      <c r="O1155">
        <v>5.7142857142857144</v>
      </c>
      <c r="P1155">
        <v>1</v>
      </c>
    </row>
    <row r="1156" spans="1:16" x14ac:dyDescent="0.45">
      <c r="A1156" t="s">
        <v>59</v>
      </c>
      <c r="B1156" t="s">
        <v>29</v>
      </c>
      <c r="C1156" t="s">
        <v>29</v>
      </c>
      <c r="D1156" t="s">
        <v>60</v>
      </c>
      <c r="E1156">
        <v>15</v>
      </c>
      <c r="F1156">
        <v>20</v>
      </c>
      <c r="G1156" t="s">
        <v>68</v>
      </c>
      <c r="H1156" t="s">
        <v>46</v>
      </c>
      <c r="I1156" s="24">
        <v>46108</v>
      </c>
      <c r="J1156" t="s">
        <v>118</v>
      </c>
      <c r="K1156" t="s">
        <v>117</v>
      </c>
      <c r="L1156" t="s">
        <v>118</v>
      </c>
      <c r="M1156">
        <v>5</v>
      </c>
      <c r="N1156">
        <v>112.5</v>
      </c>
      <c r="O1156">
        <v>2.8571428571428572</v>
      </c>
      <c r="P1156">
        <v>1</v>
      </c>
    </row>
    <row r="1157" spans="1:16" x14ac:dyDescent="0.45">
      <c r="A1157" t="s">
        <v>61</v>
      </c>
      <c r="B1157" t="s">
        <v>29</v>
      </c>
      <c r="C1157" t="s">
        <v>29</v>
      </c>
      <c r="D1157" t="s">
        <v>60</v>
      </c>
      <c r="E1157">
        <v>15</v>
      </c>
      <c r="F1157">
        <v>20</v>
      </c>
      <c r="G1157" t="s">
        <v>68</v>
      </c>
      <c r="H1157" t="s">
        <v>46</v>
      </c>
      <c r="I1157" s="24">
        <v>46108</v>
      </c>
      <c r="J1157" t="s">
        <v>118</v>
      </c>
      <c r="K1157" t="s">
        <v>117</v>
      </c>
      <c r="L1157" t="s">
        <v>118</v>
      </c>
      <c r="M1157">
        <v>5</v>
      </c>
      <c r="N1157">
        <v>112.5</v>
      </c>
      <c r="O1157">
        <v>2.8571428571428572</v>
      </c>
      <c r="P1157">
        <v>1</v>
      </c>
    </row>
    <row r="1158" spans="1:16" x14ac:dyDescent="0.45">
      <c r="A1158" t="s">
        <v>62</v>
      </c>
      <c r="B1158" t="s">
        <v>29</v>
      </c>
      <c r="C1158" t="s">
        <v>29</v>
      </c>
      <c r="D1158" t="s">
        <v>60</v>
      </c>
      <c r="E1158">
        <v>15</v>
      </c>
      <c r="F1158">
        <v>20</v>
      </c>
      <c r="G1158" t="s">
        <v>68</v>
      </c>
      <c r="H1158" t="s">
        <v>41</v>
      </c>
      <c r="I1158" s="24">
        <v>46108</v>
      </c>
      <c r="J1158" t="s">
        <v>118</v>
      </c>
      <c r="K1158" t="s">
        <v>117</v>
      </c>
      <c r="L1158" t="s">
        <v>118</v>
      </c>
      <c r="M1158">
        <v>0</v>
      </c>
      <c r="N1158">
        <v>0</v>
      </c>
      <c r="O1158">
        <v>2.8571428571428572</v>
      </c>
      <c r="P1158">
        <v>0</v>
      </c>
    </row>
    <row r="1159" spans="1:16" x14ac:dyDescent="0.45">
      <c r="A1159" t="s">
        <v>48</v>
      </c>
      <c r="B1159" t="s">
        <v>30</v>
      </c>
      <c r="C1159" t="s">
        <v>28</v>
      </c>
      <c r="D1159" t="s">
        <v>49</v>
      </c>
      <c r="E1159">
        <v>30</v>
      </c>
      <c r="F1159">
        <v>40</v>
      </c>
      <c r="G1159" t="s">
        <v>69</v>
      </c>
      <c r="H1159" t="s">
        <v>39</v>
      </c>
      <c r="I1159" s="24">
        <v>46109</v>
      </c>
      <c r="J1159" t="s">
        <v>118</v>
      </c>
      <c r="K1159" t="s">
        <v>117</v>
      </c>
      <c r="L1159" t="s">
        <v>118</v>
      </c>
      <c r="M1159">
        <v>5</v>
      </c>
      <c r="N1159">
        <v>225</v>
      </c>
      <c r="O1159">
        <v>5.7142857142857144</v>
      </c>
      <c r="P1159">
        <v>1</v>
      </c>
    </row>
    <row r="1160" spans="1:16" x14ac:dyDescent="0.45">
      <c r="A1160" t="s">
        <v>50</v>
      </c>
      <c r="B1160" t="s">
        <v>27</v>
      </c>
      <c r="C1160" t="s">
        <v>28</v>
      </c>
      <c r="D1160" t="s">
        <v>49</v>
      </c>
      <c r="E1160">
        <v>25</v>
      </c>
      <c r="F1160">
        <v>40</v>
      </c>
      <c r="G1160" t="s">
        <v>69</v>
      </c>
      <c r="H1160" t="s">
        <v>40</v>
      </c>
      <c r="I1160" s="24">
        <v>46109</v>
      </c>
      <c r="J1160" t="s">
        <v>118</v>
      </c>
      <c r="K1160" t="s">
        <v>117</v>
      </c>
      <c r="L1160" t="s">
        <v>118</v>
      </c>
      <c r="M1160">
        <v>5</v>
      </c>
      <c r="N1160">
        <v>187.5</v>
      </c>
      <c r="O1160">
        <v>5.7142857142857144</v>
      </c>
      <c r="P1160">
        <v>1</v>
      </c>
    </row>
    <row r="1161" spans="1:16" x14ac:dyDescent="0.45">
      <c r="A1161" t="s">
        <v>51</v>
      </c>
      <c r="B1161" t="s">
        <v>27</v>
      </c>
      <c r="C1161" t="s">
        <v>28</v>
      </c>
      <c r="D1161" t="s">
        <v>49</v>
      </c>
      <c r="E1161">
        <v>25</v>
      </c>
      <c r="F1161">
        <v>40</v>
      </c>
      <c r="G1161" t="s">
        <v>69</v>
      </c>
      <c r="H1161" t="s">
        <v>37</v>
      </c>
      <c r="I1161" s="24">
        <v>46109</v>
      </c>
      <c r="J1161" t="s">
        <v>118</v>
      </c>
      <c r="K1161" t="s">
        <v>117</v>
      </c>
      <c r="L1161" t="s">
        <v>118</v>
      </c>
      <c r="M1161">
        <v>7</v>
      </c>
      <c r="N1161">
        <v>262.5</v>
      </c>
      <c r="O1161">
        <v>5.7142857142857144</v>
      </c>
      <c r="P1161">
        <v>1</v>
      </c>
    </row>
    <row r="1162" spans="1:16" x14ac:dyDescent="0.45">
      <c r="A1162" t="s">
        <v>52</v>
      </c>
      <c r="B1162" t="s">
        <v>26</v>
      </c>
      <c r="C1162" t="s">
        <v>26</v>
      </c>
      <c r="D1162" t="s">
        <v>49</v>
      </c>
      <c r="E1162">
        <v>35</v>
      </c>
      <c r="F1162">
        <v>40</v>
      </c>
      <c r="G1162" t="s">
        <v>69</v>
      </c>
      <c r="H1162" t="s">
        <v>41</v>
      </c>
      <c r="I1162" s="24">
        <v>46109</v>
      </c>
      <c r="J1162" t="s">
        <v>118</v>
      </c>
      <c r="K1162" t="s">
        <v>117</v>
      </c>
      <c r="L1162" t="s">
        <v>118</v>
      </c>
      <c r="M1162">
        <v>0</v>
      </c>
      <c r="N1162">
        <v>0</v>
      </c>
      <c r="O1162">
        <v>5.7142857142857144</v>
      </c>
      <c r="P1162">
        <v>0</v>
      </c>
    </row>
    <row r="1163" spans="1:16" x14ac:dyDescent="0.45">
      <c r="A1163" t="s">
        <v>53</v>
      </c>
      <c r="B1163" t="s">
        <v>26</v>
      </c>
      <c r="C1163" t="s">
        <v>26</v>
      </c>
      <c r="D1163" t="s">
        <v>49</v>
      </c>
      <c r="E1163">
        <v>35</v>
      </c>
      <c r="F1163">
        <v>40</v>
      </c>
      <c r="G1163" t="s">
        <v>69</v>
      </c>
      <c r="H1163" t="s">
        <v>42</v>
      </c>
      <c r="I1163" s="24">
        <v>46109</v>
      </c>
      <c r="J1163" t="s">
        <v>118</v>
      </c>
      <c r="K1163" t="s">
        <v>117</v>
      </c>
      <c r="L1163" t="s">
        <v>118</v>
      </c>
      <c r="M1163">
        <v>8</v>
      </c>
      <c r="N1163">
        <v>420</v>
      </c>
      <c r="O1163">
        <v>5.7142857142857144</v>
      </c>
      <c r="P1163">
        <v>1</v>
      </c>
    </row>
    <row r="1164" spans="1:16" x14ac:dyDescent="0.45">
      <c r="A1164" t="s">
        <v>54</v>
      </c>
      <c r="B1164" t="s">
        <v>25</v>
      </c>
      <c r="C1164" t="s">
        <v>26</v>
      </c>
      <c r="D1164" t="s">
        <v>49</v>
      </c>
      <c r="E1164">
        <v>28</v>
      </c>
      <c r="F1164">
        <v>40</v>
      </c>
      <c r="G1164" t="s">
        <v>69</v>
      </c>
      <c r="H1164" t="s">
        <v>44</v>
      </c>
      <c r="I1164" s="24">
        <v>46109</v>
      </c>
      <c r="J1164" t="s">
        <v>118</v>
      </c>
      <c r="K1164" t="s">
        <v>117</v>
      </c>
      <c r="L1164" t="s">
        <v>118</v>
      </c>
      <c r="M1164">
        <v>8</v>
      </c>
      <c r="N1164">
        <v>336</v>
      </c>
      <c r="O1164">
        <v>5.7142857142857144</v>
      </c>
      <c r="P1164">
        <v>1</v>
      </c>
    </row>
    <row r="1165" spans="1:16" x14ac:dyDescent="0.45">
      <c r="A1165" t="s">
        <v>55</v>
      </c>
      <c r="B1165" t="s">
        <v>25</v>
      </c>
      <c r="C1165" t="s">
        <v>26</v>
      </c>
      <c r="D1165" t="s">
        <v>49</v>
      </c>
      <c r="E1165">
        <v>28</v>
      </c>
      <c r="F1165">
        <v>40</v>
      </c>
      <c r="G1165" t="s">
        <v>69</v>
      </c>
      <c r="H1165" t="s">
        <v>41</v>
      </c>
      <c r="I1165" s="24">
        <v>46109</v>
      </c>
      <c r="J1165" t="s">
        <v>118</v>
      </c>
      <c r="K1165" t="s">
        <v>117</v>
      </c>
      <c r="L1165" t="s">
        <v>118</v>
      </c>
      <c r="M1165">
        <v>0</v>
      </c>
      <c r="N1165">
        <v>0</v>
      </c>
      <c r="O1165">
        <v>5.7142857142857144</v>
      </c>
      <c r="P1165">
        <v>0</v>
      </c>
    </row>
    <row r="1166" spans="1:16" x14ac:dyDescent="0.45">
      <c r="A1166" t="s">
        <v>56</v>
      </c>
      <c r="B1166" t="s">
        <v>29</v>
      </c>
      <c r="C1166" t="s">
        <v>29</v>
      </c>
      <c r="D1166" t="s">
        <v>49</v>
      </c>
      <c r="E1166">
        <v>20</v>
      </c>
      <c r="F1166">
        <v>40</v>
      </c>
      <c r="G1166" t="s">
        <v>69</v>
      </c>
      <c r="H1166" t="s">
        <v>45</v>
      </c>
      <c r="I1166" s="24">
        <v>46109</v>
      </c>
      <c r="J1166" t="s">
        <v>118</v>
      </c>
      <c r="K1166" t="s">
        <v>117</v>
      </c>
      <c r="L1166" t="s">
        <v>118</v>
      </c>
      <c r="M1166">
        <v>8</v>
      </c>
      <c r="N1166">
        <v>240</v>
      </c>
      <c r="O1166">
        <v>5.7142857142857144</v>
      </c>
      <c r="P1166">
        <v>1</v>
      </c>
    </row>
    <row r="1167" spans="1:16" x14ac:dyDescent="0.45">
      <c r="A1167" t="s">
        <v>57</v>
      </c>
      <c r="B1167" t="s">
        <v>29</v>
      </c>
      <c r="C1167" t="s">
        <v>29</v>
      </c>
      <c r="D1167" t="s">
        <v>49</v>
      </c>
      <c r="E1167">
        <v>20</v>
      </c>
      <c r="F1167">
        <v>40</v>
      </c>
      <c r="G1167" t="s">
        <v>69</v>
      </c>
      <c r="H1167" t="s">
        <v>41</v>
      </c>
      <c r="I1167" s="24">
        <v>46109</v>
      </c>
      <c r="J1167" t="s">
        <v>118</v>
      </c>
      <c r="K1167" t="s">
        <v>117</v>
      </c>
      <c r="L1167" t="s">
        <v>118</v>
      </c>
      <c r="M1167">
        <v>0</v>
      </c>
      <c r="N1167">
        <v>0</v>
      </c>
      <c r="O1167">
        <v>5.7142857142857144</v>
      </c>
      <c r="P1167">
        <v>0</v>
      </c>
    </row>
    <row r="1168" spans="1:16" x14ac:dyDescent="0.45">
      <c r="A1168" t="s">
        <v>58</v>
      </c>
      <c r="B1168" t="s">
        <v>29</v>
      </c>
      <c r="C1168" t="s">
        <v>29</v>
      </c>
      <c r="D1168" t="s">
        <v>49</v>
      </c>
      <c r="E1168">
        <v>20</v>
      </c>
      <c r="F1168">
        <v>40</v>
      </c>
      <c r="G1168" t="s">
        <v>69</v>
      </c>
      <c r="H1168" t="s">
        <v>44</v>
      </c>
      <c r="I1168" s="24">
        <v>46109</v>
      </c>
      <c r="J1168" t="s">
        <v>118</v>
      </c>
      <c r="K1168" t="s">
        <v>117</v>
      </c>
      <c r="L1168" t="s">
        <v>118</v>
      </c>
      <c r="M1168">
        <v>8</v>
      </c>
      <c r="N1168">
        <v>240</v>
      </c>
      <c r="O1168">
        <v>5.7142857142857144</v>
      </c>
      <c r="P1168">
        <v>1</v>
      </c>
    </row>
    <row r="1169" spans="1:16" x14ac:dyDescent="0.45">
      <c r="A1169" t="s">
        <v>59</v>
      </c>
      <c r="B1169" t="s">
        <v>29</v>
      </c>
      <c r="C1169" t="s">
        <v>29</v>
      </c>
      <c r="D1169" t="s">
        <v>60</v>
      </c>
      <c r="E1169">
        <v>15</v>
      </c>
      <c r="F1169">
        <v>20</v>
      </c>
      <c r="G1169" t="s">
        <v>69</v>
      </c>
      <c r="H1169" t="s">
        <v>46</v>
      </c>
      <c r="I1169" s="24">
        <v>46109</v>
      </c>
      <c r="J1169" t="s">
        <v>118</v>
      </c>
      <c r="K1169" t="s">
        <v>117</v>
      </c>
      <c r="L1169" t="s">
        <v>118</v>
      </c>
      <c r="M1169">
        <v>5</v>
      </c>
      <c r="N1169">
        <v>112.5</v>
      </c>
      <c r="O1169">
        <v>2.8571428571428572</v>
      </c>
      <c r="P1169">
        <v>1</v>
      </c>
    </row>
    <row r="1170" spans="1:16" x14ac:dyDescent="0.45">
      <c r="A1170" t="s">
        <v>61</v>
      </c>
      <c r="B1170" t="s">
        <v>29</v>
      </c>
      <c r="C1170" t="s">
        <v>29</v>
      </c>
      <c r="D1170" t="s">
        <v>60</v>
      </c>
      <c r="E1170">
        <v>15</v>
      </c>
      <c r="F1170">
        <v>20</v>
      </c>
      <c r="G1170" t="s">
        <v>69</v>
      </c>
      <c r="H1170" t="s">
        <v>40</v>
      </c>
      <c r="I1170" s="24">
        <v>46109</v>
      </c>
      <c r="J1170" t="s">
        <v>118</v>
      </c>
      <c r="K1170" t="s">
        <v>117</v>
      </c>
      <c r="L1170" t="s">
        <v>118</v>
      </c>
      <c r="M1170">
        <v>5</v>
      </c>
      <c r="N1170">
        <v>112.5</v>
      </c>
      <c r="O1170">
        <v>2.8571428571428572</v>
      </c>
      <c r="P1170">
        <v>1</v>
      </c>
    </row>
    <row r="1171" spans="1:16" x14ac:dyDescent="0.45">
      <c r="A1171" t="s">
        <v>62</v>
      </c>
      <c r="B1171" t="s">
        <v>29</v>
      </c>
      <c r="C1171" t="s">
        <v>29</v>
      </c>
      <c r="D1171" t="s">
        <v>60</v>
      </c>
      <c r="E1171">
        <v>15</v>
      </c>
      <c r="F1171">
        <v>20</v>
      </c>
      <c r="G1171" t="s">
        <v>69</v>
      </c>
      <c r="H1171" t="s">
        <v>40</v>
      </c>
      <c r="I1171" s="24">
        <v>46109</v>
      </c>
      <c r="J1171" t="s">
        <v>118</v>
      </c>
      <c r="K1171" t="s">
        <v>117</v>
      </c>
      <c r="L1171" t="s">
        <v>118</v>
      </c>
      <c r="M1171">
        <v>5</v>
      </c>
      <c r="N1171">
        <v>112.5</v>
      </c>
      <c r="O1171">
        <v>2.8571428571428572</v>
      </c>
      <c r="P1171">
        <v>1</v>
      </c>
    </row>
    <row r="1172" spans="1:16" x14ac:dyDescent="0.45">
      <c r="A1172" t="s">
        <v>48</v>
      </c>
      <c r="B1172" t="s">
        <v>30</v>
      </c>
      <c r="C1172" t="s">
        <v>28</v>
      </c>
      <c r="D1172" t="s">
        <v>49</v>
      </c>
      <c r="E1172">
        <v>30</v>
      </c>
      <c r="F1172">
        <v>40</v>
      </c>
      <c r="G1172" t="s">
        <v>70</v>
      </c>
      <c r="H1172" t="s">
        <v>35</v>
      </c>
      <c r="I1172" s="24">
        <v>46110</v>
      </c>
      <c r="J1172" t="s">
        <v>117</v>
      </c>
      <c r="K1172" t="s">
        <v>117</v>
      </c>
      <c r="L1172" t="s">
        <v>117</v>
      </c>
      <c r="M1172">
        <v>7</v>
      </c>
      <c r="N1172">
        <v>210</v>
      </c>
      <c r="O1172">
        <v>5.7142857142857144</v>
      </c>
      <c r="P1172">
        <v>0</v>
      </c>
    </row>
    <row r="1173" spans="1:16" x14ac:dyDescent="0.45">
      <c r="A1173" t="s">
        <v>50</v>
      </c>
      <c r="B1173" t="s">
        <v>27</v>
      </c>
      <c r="C1173" t="s">
        <v>28</v>
      </c>
      <c r="D1173" t="s">
        <v>49</v>
      </c>
      <c r="E1173">
        <v>25</v>
      </c>
      <c r="F1173">
        <v>40</v>
      </c>
      <c r="G1173" t="s">
        <v>70</v>
      </c>
      <c r="H1173" t="s">
        <v>37</v>
      </c>
      <c r="I1173" s="24">
        <v>46110</v>
      </c>
      <c r="J1173" t="s">
        <v>117</v>
      </c>
      <c r="K1173" t="s">
        <v>117</v>
      </c>
      <c r="L1173" t="s">
        <v>117</v>
      </c>
      <c r="M1173">
        <v>7</v>
      </c>
      <c r="N1173">
        <v>175</v>
      </c>
      <c r="O1173">
        <v>5.7142857142857144</v>
      </c>
      <c r="P1173">
        <v>0</v>
      </c>
    </row>
    <row r="1174" spans="1:16" x14ac:dyDescent="0.45">
      <c r="A1174" t="s">
        <v>51</v>
      </c>
      <c r="B1174" t="s">
        <v>27</v>
      </c>
      <c r="C1174" t="s">
        <v>28</v>
      </c>
      <c r="D1174" t="s">
        <v>49</v>
      </c>
      <c r="E1174">
        <v>25</v>
      </c>
      <c r="F1174">
        <v>40</v>
      </c>
      <c r="G1174" t="s">
        <v>70</v>
      </c>
      <c r="H1174" t="s">
        <v>37</v>
      </c>
      <c r="I1174" s="24">
        <v>46110</v>
      </c>
      <c r="J1174" t="s">
        <v>117</v>
      </c>
      <c r="K1174" t="s">
        <v>117</v>
      </c>
      <c r="L1174" t="s">
        <v>117</v>
      </c>
      <c r="M1174">
        <v>7</v>
      </c>
      <c r="N1174">
        <v>175</v>
      </c>
      <c r="O1174">
        <v>5.7142857142857144</v>
      </c>
      <c r="P1174">
        <v>0</v>
      </c>
    </row>
    <row r="1175" spans="1:16" x14ac:dyDescent="0.45">
      <c r="A1175" t="s">
        <v>52</v>
      </c>
      <c r="B1175" t="s">
        <v>26</v>
      </c>
      <c r="C1175" t="s">
        <v>26</v>
      </c>
      <c r="D1175" t="s">
        <v>49</v>
      </c>
      <c r="E1175">
        <v>35</v>
      </c>
      <c r="F1175">
        <v>40</v>
      </c>
      <c r="G1175" t="s">
        <v>70</v>
      </c>
      <c r="H1175" t="s">
        <v>41</v>
      </c>
      <c r="I1175" s="24">
        <v>46110</v>
      </c>
      <c r="J1175" t="s">
        <v>117</v>
      </c>
      <c r="K1175" t="s">
        <v>117</v>
      </c>
      <c r="L1175" t="s">
        <v>117</v>
      </c>
      <c r="M1175">
        <v>0</v>
      </c>
      <c r="N1175">
        <v>0</v>
      </c>
      <c r="O1175">
        <v>5.7142857142857144</v>
      </c>
      <c r="P1175">
        <v>0</v>
      </c>
    </row>
    <row r="1176" spans="1:16" x14ac:dyDescent="0.45">
      <c r="A1176" t="s">
        <v>53</v>
      </c>
      <c r="B1176" t="s">
        <v>26</v>
      </c>
      <c r="C1176" t="s">
        <v>26</v>
      </c>
      <c r="D1176" t="s">
        <v>49</v>
      </c>
      <c r="E1176">
        <v>35</v>
      </c>
      <c r="F1176">
        <v>40</v>
      </c>
      <c r="G1176" t="s">
        <v>70</v>
      </c>
      <c r="H1176" t="s">
        <v>42</v>
      </c>
      <c r="I1176" s="24">
        <v>46110</v>
      </c>
      <c r="J1176" t="s">
        <v>117</v>
      </c>
      <c r="K1176" t="s">
        <v>117</v>
      </c>
      <c r="L1176" t="s">
        <v>117</v>
      </c>
      <c r="M1176">
        <v>8</v>
      </c>
      <c r="N1176">
        <v>280</v>
      </c>
      <c r="O1176">
        <v>5.7142857142857144</v>
      </c>
      <c r="P1176">
        <v>0</v>
      </c>
    </row>
    <row r="1177" spans="1:16" x14ac:dyDescent="0.45">
      <c r="A1177" t="s">
        <v>54</v>
      </c>
      <c r="B1177" t="s">
        <v>25</v>
      </c>
      <c r="C1177" t="s">
        <v>26</v>
      </c>
      <c r="D1177" t="s">
        <v>49</v>
      </c>
      <c r="E1177">
        <v>28</v>
      </c>
      <c r="F1177">
        <v>40</v>
      </c>
      <c r="G1177" t="s">
        <v>70</v>
      </c>
      <c r="H1177" t="s">
        <v>44</v>
      </c>
      <c r="I1177" s="24">
        <v>46110</v>
      </c>
      <c r="J1177" t="s">
        <v>117</v>
      </c>
      <c r="K1177" t="s">
        <v>117</v>
      </c>
      <c r="L1177" t="s">
        <v>117</v>
      </c>
      <c r="M1177">
        <v>8</v>
      </c>
      <c r="N1177">
        <v>224</v>
      </c>
      <c r="O1177">
        <v>5.7142857142857144</v>
      </c>
      <c r="P1177">
        <v>0</v>
      </c>
    </row>
    <row r="1178" spans="1:16" x14ac:dyDescent="0.45">
      <c r="A1178" t="s">
        <v>55</v>
      </c>
      <c r="B1178" t="s">
        <v>25</v>
      </c>
      <c r="C1178" t="s">
        <v>26</v>
      </c>
      <c r="D1178" t="s">
        <v>49</v>
      </c>
      <c r="E1178">
        <v>28</v>
      </c>
      <c r="F1178">
        <v>40</v>
      </c>
      <c r="G1178" t="s">
        <v>70</v>
      </c>
      <c r="H1178" t="s">
        <v>41</v>
      </c>
      <c r="I1178" s="24">
        <v>46110</v>
      </c>
      <c r="J1178" t="s">
        <v>117</v>
      </c>
      <c r="K1178" t="s">
        <v>117</v>
      </c>
      <c r="L1178" t="s">
        <v>117</v>
      </c>
      <c r="M1178">
        <v>0</v>
      </c>
      <c r="N1178">
        <v>0</v>
      </c>
      <c r="O1178">
        <v>5.7142857142857144</v>
      </c>
      <c r="P1178">
        <v>0</v>
      </c>
    </row>
    <row r="1179" spans="1:16" x14ac:dyDescent="0.45">
      <c r="A1179" t="s">
        <v>56</v>
      </c>
      <c r="B1179" t="s">
        <v>29</v>
      </c>
      <c r="C1179" t="s">
        <v>29</v>
      </c>
      <c r="D1179" t="s">
        <v>49</v>
      </c>
      <c r="E1179">
        <v>20</v>
      </c>
      <c r="F1179">
        <v>40</v>
      </c>
      <c r="G1179" t="s">
        <v>70</v>
      </c>
      <c r="H1179" t="s">
        <v>45</v>
      </c>
      <c r="I1179" s="24">
        <v>46110</v>
      </c>
      <c r="J1179" t="s">
        <v>117</v>
      </c>
      <c r="K1179" t="s">
        <v>117</v>
      </c>
      <c r="L1179" t="s">
        <v>117</v>
      </c>
      <c r="M1179">
        <v>8</v>
      </c>
      <c r="N1179">
        <v>160</v>
      </c>
      <c r="O1179">
        <v>5.7142857142857144</v>
      </c>
      <c r="P1179">
        <v>0</v>
      </c>
    </row>
    <row r="1180" spans="1:16" x14ac:dyDescent="0.45">
      <c r="A1180" t="s">
        <v>57</v>
      </c>
      <c r="B1180" t="s">
        <v>29</v>
      </c>
      <c r="C1180" t="s">
        <v>29</v>
      </c>
      <c r="D1180" t="s">
        <v>49</v>
      </c>
      <c r="E1180">
        <v>20</v>
      </c>
      <c r="F1180">
        <v>40</v>
      </c>
      <c r="G1180" t="s">
        <v>70</v>
      </c>
      <c r="H1180" t="s">
        <v>41</v>
      </c>
      <c r="I1180" s="24">
        <v>46110</v>
      </c>
      <c r="J1180" t="s">
        <v>117</v>
      </c>
      <c r="K1180" t="s">
        <v>117</v>
      </c>
      <c r="L1180" t="s">
        <v>117</v>
      </c>
      <c r="M1180">
        <v>0</v>
      </c>
      <c r="N1180">
        <v>0</v>
      </c>
      <c r="O1180">
        <v>5.7142857142857144</v>
      </c>
      <c r="P1180">
        <v>0</v>
      </c>
    </row>
    <row r="1181" spans="1:16" x14ac:dyDescent="0.45">
      <c r="A1181" t="s">
        <v>58</v>
      </c>
      <c r="B1181" t="s">
        <v>29</v>
      </c>
      <c r="C1181" t="s">
        <v>29</v>
      </c>
      <c r="D1181" t="s">
        <v>49</v>
      </c>
      <c r="E1181">
        <v>20</v>
      </c>
      <c r="F1181">
        <v>40</v>
      </c>
      <c r="G1181" t="s">
        <v>70</v>
      </c>
      <c r="H1181" t="s">
        <v>44</v>
      </c>
      <c r="I1181" s="24">
        <v>46110</v>
      </c>
      <c r="J1181" t="s">
        <v>117</v>
      </c>
      <c r="K1181" t="s">
        <v>117</v>
      </c>
      <c r="L1181" t="s">
        <v>117</v>
      </c>
      <c r="M1181">
        <v>8</v>
      </c>
      <c r="N1181">
        <v>160</v>
      </c>
      <c r="O1181">
        <v>5.7142857142857144</v>
      </c>
      <c r="P1181">
        <v>0</v>
      </c>
    </row>
    <row r="1182" spans="1:16" x14ac:dyDescent="0.45">
      <c r="A1182" t="s">
        <v>59</v>
      </c>
      <c r="B1182" t="s">
        <v>29</v>
      </c>
      <c r="C1182" t="s">
        <v>29</v>
      </c>
      <c r="D1182" t="s">
        <v>60</v>
      </c>
      <c r="E1182">
        <v>15</v>
      </c>
      <c r="F1182">
        <v>20</v>
      </c>
      <c r="G1182" t="s">
        <v>70</v>
      </c>
      <c r="H1182" t="s">
        <v>41</v>
      </c>
      <c r="I1182" s="24">
        <v>46110</v>
      </c>
      <c r="J1182" t="s">
        <v>117</v>
      </c>
      <c r="K1182" t="s">
        <v>117</v>
      </c>
      <c r="L1182" t="s">
        <v>117</v>
      </c>
      <c r="M1182">
        <v>0</v>
      </c>
      <c r="N1182">
        <v>0</v>
      </c>
      <c r="O1182">
        <v>2.8571428571428572</v>
      </c>
      <c r="P1182">
        <v>0</v>
      </c>
    </row>
    <row r="1183" spans="1:16" x14ac:dyDescent="0.45">
      <c r="A1183" t="s">
        <v>61</v>
      </c>
      <c r="B1183" t="s">
        <v>29</v>
      </c>
      <c r="C1183" t="s">
        <v>29</v>
      </c>
      <c r="D1183" t="s">
        <v>60</v>
      </c>
      <c r="E1183">
        <v>15</v>
      </c>
      <c r="F1183">
        <v>20</v>
      </c>
      <c r="G1183" t="s">
        <v>70</v>
      </c>
      <c r="H1183" t="s">
        <v>41</v>
      </c>
      <c r="I1183" s="24">
        <v>46110</v>
      </c>
      <c r="J1183" t="s">
        <v>117</v>
      </c>
      <c r="K1183" t="s">
        <v>117</v>
      </c>
      <c r="L1183" t="s">
        <v>117</v>
      </c>
      <c r="M1183">
        <v>0</v>
      </c>
      <c r="N1183">
        <v>0</v>
      </c>
      <c r="O1183">
        <v>2.8571428571428572</v>
      </c>
      <c r="P1183">
        <v>0</v>
      </c>
    </row>
    <row r="1184" spans="1:16" x14ac:dyDescent="0.45">
      <c r="A1184" t="s">
        <v>62</v>
      </c>
      <c r="B1184" t="s">
        <v>29</v>
      </c>
      <c r="C1184" t="s">
        <v>29</v>
      </c>
      <c r="D1184" t="s">
        <v>60</v>
      </c>
      <c r="E1184">
        <v>15</v>
      </c>
      <c r="F1184">
        <v>20</v>
      </c>
      <c r="G1184" t="s">
        <v>70</v>
      </c>
      <c r="H1184" t="s">
        <v>46</v>
      </c>
      <c r="I1184" s="24">
        <v>46110</v>
      </c>
      <c r="J1184" t="s">
        <v>117</v>
      </c>
      <c r="K1184" t="s">
        <v>117</v>
      </c>
      <c r="L1184" t="s">
        <v>117</v>
      </c>
      <c r="M1184">
        <v>5</v>
      </c>
      <c r="N1184">
        <v>75</v>
      </c>
      <c r="O1184">
        <v>2.8571428571428572</v>
      </c>
      <c r="P1184">
        <v>0</v>
      </c>
    </row>
    <row r="1185" spans="1:16" x14ac:dyDescent="0.45">
      <c r="A1185" t="s">
        <v>48</v>
      </c>
      <c r="B1185" t="s">
        <v>30</v>
      </c>
      <c r="C1185" t="s">
        <v>28</v>
      </c>
      <c r="D1185" t="s">
        <v>49</v>
      </c>
      <c r="E1185">
        <v>30</v>
      </c>
      <c r="F1185">
        <v>40</v>
      </c>
      <c r="G1185" t="s">
        <v>64</v>
      </c>
      <c r="H1185" t="s">
        <v>35</v>
      </c>
      <c r="I1185" s="24">
        <v>46111</v>
      </c>
      <c r="J1185" t="s">
        <v>117</v>
      </c>
      <c r="K1185" t="s">
        <v>117</v>
      </c>
      <c r="L1185" t="s">
        <v>117</v>
      </c>
      <c r="M1185">
        <v>7</v>
      </c>
      <c r="N1185">
        <v>210</v>
      </c>
      <c r="O1185">
        <v>5.7142857142857144</v>
      </c>
      <c r="P1185">
        <v>0</v>
      </c>
    </row>
    <row r="1186" spans="1:16" x14ac:dyDescent="0.45">
      <c r="A1186" t="s">
        <v>50</v>
      </c>
      <c r="B1186" t="s">
        <v>27</v>
      </c>
      <c r="C1186" t="s">
        <v>28</v>
      </c>
      <c r="D1186" t="s">
        <v>49</v>
      </c>
      <c r="E1186">
        <v>25</v>
      </c>
      <c r="F1186">
        <v>40</v>
      </c>
      <c r="G1186" t="s">
        <v>64</v>
      </c>
      <c r="H1186" t="s">
        <v>37</v>
      </c>
      <c r="I1186" s="24">
        <v>46111</v>
      </c>
      <c r="J1186" t="s">
        <v>117</v>
      </c>
      <c r="K1186" t="s">
        <v>117</v>
      </c>
      <c r="L1186" t="s">
        <v>117</v>
      </c>
      <c r="M1186">
        <v>7</v>
      </c>
      <c r="N1186">
        <v>175</v>
      </c>
      <c r="O1186">
        <v>5.7142857142857144</v>
      </c>
      <c r="P1186">
        <v>0</v>
      </c>
    </row>
    <row r="1187" spans="1:16" x14ac:dyDescent="0.45">
      <c r="A1187" t="s">
        <v>51</v>
      </c>
      <c r="B1187" t="s">
        <v>27</v>
      </c>
      <c r="C1187" t="s">
        <v>28</v>
      </c>
      <c r="D1187" t="s">
        <v>49</v>
      </c>
      <c r="E1187">
        <v>25</v>
      </c>
      <c r="F1187">
        <v>40</v>
      </c>
      <c r="G1187" t="s">
        <v>64</v>
      </c>
      <c r="H1187" t="s">
        <v>41</v>
      </c>
      <c r="I1187" s="24">
        <v>46111</v>
      </c>
      <c r="J1187" t="s">
        <v>117</v>
      </c>
      <c r="K1187" t="s">
        <v>117</v>
      </c>
      <c r="L1187" t="s">
        <v>117</v>
      </c>
      <c r="M1187">
        <v>0</v>
      </c>
      <c r="N1187">
        <v>0</v>
      </c>
      <c r="O1187">
        <v>5.7142857142857144</v>
      </c>
      <c r="P1187">
        <v>0</v>
      </c>
    </row>
    <row r="1188" spans="1:16" x14ac:dyDescent="0.45">
      <c r="A1188" t="s">
        <v>52</v>
      </c>
      <c r="B1188" t="s">
        <v>26</v>
      </c>
      <c r="C1188" t="s">
        <v>26</v>
      </c>
      <c r="D1188" t="s">
        <v>49</v>
      </c>
      <c r="E1188">
        <v>35</v>
      </c>
      <c r="F1188">
        <v>40</v>
      </c>
      <c r="G1188" t="s">
        <v>64</v>
      </c>
      <c r="H1188" t="s">
        <v>42</v>
      </c>
      <c r="I1188" s="24">
        <v>46111</v>
      </c>
      <c r="J1188" t="s">
        <v>117</v>
      </c>
      <c r="K1188" t="s">
        <v>117</v>
      </c>
      <c r="L1188" t="s">
        <v>117</v>
      </c>
      <c r="M1188">
        <v>8</v>
      </c>
      <c r="N1188">
        <v>280</v>
      </c>
      <c r="O1188">
        <v>5.7142857142857144</v>
      </c>
      <c r="P1188">
        <v>0</v>
      </c>
    </row>
    <row r="1189" spans="1:16" x14ac:dyDescent="0.45">
      <c r="A1189" t="s">
        <v>53</v>
      </c>
      <c r="B1189" t="s">
        <v>26</v>
      </c>
      <c r="C1189" t="s">
        <v>26</v>
      </c>
      <c r="D1189" t="s">
        <v>49</v>
      </c>
      <c r="E1189">
        <v>35</v>
      </c>
      <c r="F1189">
        <v>40</v>
      </c>
      <c r="G1189" t="s">
        <v>64</v>
      </c>
      <c r="H1189" t="s">
        <v>44</v>
      </c>
      <c r="I1189" s="24">
        <v>46111</v>
      </c>
      <c r="J1189" t="s">
        <v>117</v>
      </c>
      <c r="K1189" t="s">
        <v>117</v>
      </c>
      <c r="L1189" t="s">
        <v>117</v>
      </c>
      <c r="M1189">
        <v>8</v>
      </c>
      <c r="N1189">
        <v>280</v>
      </c>
      <c r="O1189">
        <v>5.7142857142857144</v>
      </c>
      <c r="P1189">
        <v>0</v>
      </c>
    </row>
    <row r="1190" spans="1:16" x14ac:dyDescent="0.45">
      <c r="A1190" t="s">
        <v>54</v>
      </c>
      <c r="B1190" t="s">
        <v>25</v>
      </c>
      <c r="C1190" t="s">
        <v>26</v>
      </c>
      <c r="D1190" t="s">
        <v>49</v>
      </c>
      <c r="E1190">
        <v>28</v>
      </c>
      <c r="F1190">
        <v>40</v>
      </c>
      <c r="G1190" t="s">
        <v>64</v>
      </c>
      <c r="H1190" t="s">
        <v>41</v>
      </c>
      <c r="I1190" s="24">
        <v>46111</v>
      </c>
      <c r="J1190" t="s">
        <v>117</v>
      </c>
      <c r="K1190" t="s">
        <v>117</v>
      </c>
      <c r="L1190" t="s">
        <v>117</v>
      </c>
      <c r="M1190">
        <v>0</v>
      </c>
      <c r="N1190">
        <v>0</v>
      </c>
      <c r="O1190">
        <v>5.7142857142857144</v>
      </c>
      <c r="P1190">
        <v>0</v>
      </c>
    </row>
    <row r="1191" spans="1:16" x14ac:dyDescent="0.45">
      <c r="A1191" t="s">
        <v>55</v>
      </c>
      <c r="B1191" t="s">
        <v>25</v>
      </c>
      <c r="C1191" t="s">
        <v>26</v>
      </c>
      <c r="D1191" t="s">
        <v>49</v>
      </c>
      <c r="E1191">
        <v>28</v>
      </c>
      <c r="F1191">
        <v>40</v>
      </c>
      <c r="G1191" t="s">
        <v>64</v>
      </c>
      <c r="H1191" t="s">
        <v>44</v>
      </c>
      <c r="I1191" s="24">
        <v>46111</v>
      </c>
      <c r="J1191" t="s">
        <v>117</v>
      </c>
      <c r="K1191" t="s">
        <v>117</v>
      </c>
      <c r="L1191" t="s">
        <v>117</v>
      </c>
      <c r="M1191">
        <v>8</v>
      </c>
      <c r="N1191">
        <v>224</v>
      </c>
      <c r="O1191">
        <v>5.7142857142857144</v>
      </c>
      <c r="P1191">
        <v>0</v>
      </c>
    </row>
    <row r="1192" spans="1:16" x14ac:dyDescent="0.45">
      <c r="A1192" t="s">
        <v>56</v>
      </c>
      <c r="B1192" t="s">
        <v>29</v>
      </c>
      <c r="C1192" t="s">
        <v>29</v>
      </c>
      <c r="D1192" t="s">
        <v>49</v>
      </c>
      <c r="E1192">
        <v>20</v>
      </c>
      <c r="F1192">
        <v>40</v>
      </c>
      <c r="G1192" t="s">
        <v>64</v>
      </c>
      <c r="H1192" t="s">
        <v>45</v>
      </c>
      <c r="I1192" s="24">
        <v>46111</v>
      </c>
      <c r="J1192" t="s">
        <v>117</v>
      </c>
      <c r="K1192" t="s">
        <v>117</v>
      </c>
      <c r="L1192" t="s">
        <v>117</v>
      </c>
      <c r="M1192">
        <v>8</v>
      </c>
      <c r="N1192">
        <v>160</v>
      </c>
      <c r="O1192">
        <v>5.7142857142857144</v>
      </c>
      <c r="P1192">
        <v>0</v>
      </c>
    </row>
    <row r="1193" spans="1:16" x14ac:dyDescent="0.45">
      <c r="A1193" t="s">
        <v>57</v>
      </c>
      <c r="B1193" t="s">
        <v>29</v>
      </c>
      <c r="C1193" t="s">
        <v>29</v>
      </c>
      <c r="D1193" t="s">
        <v>49</v>
      </c>
      <c r="E1193">
        <v>20</v>
      </c>
      <c r="F1193">
        <v>40</v>
      </c>
      <c r="G1193" t="s">
        <v>64</v>
      </c>
      <c r="H1193" t="s">
        <v>44</v>
      </c>
      <c r="I1193" s="24">
        <v>46111</v>
      </c>
      <c r="J1193" t="s">
        <v>117</v>
      </c>
      <c r="K1193" t="s">
        <v>117</v>
      </c>
      <c r="L1193" t="s">
        <v>117</v>
      </c>
      <c r="M1193">
        <v>8</v>
      </c>
      <c r="N1193">
        <v>160</v>
      </c>
      <c r="O1193">
        <v>5.7142857142857144</v>
      </c>
      <c r="P1193">
        <v>0</v>
      </c>
    </row>
    <row r="1194" spans="1:16" x14ac:dyDescent="0.45">
      <c r="A1194" t="s">
        <v>58</v>
      </c>
      <c r="B1194" t="s">
        <v>29</v>
      </c>
      <c r="C1194" t="s">
        <v>29</v>
      </c>
      <c r="D1194" t="s">
        <v>49</v>
      </c>
      <c r="E1194">
        <v>20</v>
      </c>
      <c r="F1194">
        <v>40</v>
      </c>
      <c r="G1194" t="s">
        <v>64</v>
      </c>
      <c r="H1194" t="s">
        <v>41</v>
      </c>
      <c r="I1194" s="24">
        <v>46111</v>
      </c>
      <c r="J1194" t="s">
        <v>117</v>
      </c>
      <c r="K1194" t="s">
        <v>117</v>
      </c>
      <c r="L1194" t="s">
        <v>117</v>
      </c>
      <c r="M1194">
        <v>0</v>
      </c>
      <c r="N1194">
        <v>0</v>
      </c>
      <c r="O1194">
        <v>5.7142857142857144</v>
      </c>
      <c r="P1194">
        <v>0</v>
      </c>
    </row>
    <row r="1195" spans="1:16" x14ac:dyDescent="0.45">
      <c r="A1195" t="s">
        <v>59</v>
      </c>
      <c r="B1195" t="s">
        <v>29</v>
      </c>
      <c r="C1195" t="s">
        <v>29</v>
      </c>
      <c r="D1195" t="s">
        <v>60</v>
      </c>
      <c r="E1195">
        <v>15</v>
      </c>
      <c r="F1195">
        <v>20</v>
      </c>
      <c r="G1195" t="s">
        <v>64</v>
      </c>
      <c r="H1195" t="s">
        <v>41</v>
      </c>
      <c r="I1195" s="24">
        <v>46111</v>
      </c>
      <c r="J1195" t="s">
        <v>117</v>
      </c>
      <c r="K1195" t="s">
        <v>117</v>
      </c>
      <c r="L1195" t="s">
        <v>117</v>
      </c>
      <c r="M1195">
        <v>0</v>
      </c>
      <c r="N1195">
        <v>0</v>
      </c>
      <c r="O1195">
        <v>2.8571428571428572</v>
      </c>
      <c r="P1195">
        <v>0</v>
      </c>
    </row>
    <row r="1196" spans="1:16" x14ac:dyDescent="0.45">
      <c r="A1196" t="s">
        <v>61</v>
      </c>
      <c r="B1196" t="s">
        <v>29</v>
      </c>
      <c r="C1196" t="s">
        <v>29</v>
      </c>
      <c r="D1196" t="s">
        <v>60</v>
      </c>
      <c r="E1196">
        <v>15</v>
      </c>
      <c r="F1196">
        <v>20</v>
      </c>
      <c r="G1196" t="s">
        <v>64</v>
      </c>
      <c r="H1196" t="s">
        <v>46</v>
      </c>
      <c r="I1196" s="24">
        <v>46111</v>
      </c>
      <c r="J1196" t="s">
        <v>117</v>
      </c>
      <c r="K1196" t="s">
        <v>117</v>
      </c>
      <c r="L1196" t="s">
        <v>117</v>
      </c>
      <c r="M1196">
        <v>5</v>
      </c>
      <c r="N1196">
        <v>75</v>
      </c>
      <c r="O1196">
        <v>2.8571428571428572</v>
      </c>
      <c r="P1196">
        <v>0</v>
      </c>
    </row>
    <row r="1197" spans="1:16" x14ac:dyDescent="0.45">
      <c r="A1197" t="s">
        <v>62</v>
      </c>
      <c r="B1197" t="s">
        <v>29</v>
      </c>
      <c r="C1197" t="s">
        <v>29</v>
      </c>
      <c r="D1197" t="s">
        <v>60</v>
      </c>
      <c r="E1197">
        <v>15</v>
      </c>
      <c r="F1197">
        <v>20</v>
      </c>
      <c r="G1197" t="s">
        <v>64</v>
      </c>
      <c r="H1197" t="s">
        <v>40</v>
      </c>
      <c r="I1197" s="24">
        <v>46111</v>
      </c>
      <c r="J1197" t="s">
        <v>117</v>
      </c>
      <c r="K1197" t="s">
        <v>117</v>
      </c>
      <c r="L1197" t="s">
        <v>117</v>
      </c>
      <c r="M1197">
        <v>5</v>
      </c>
      <c r="N1197">
        <v>75</v>
      </c>
      <c r="O1197">
        <v>2.8571428571428572</v>
      </c>
      <c r="P1197">
        <v>0</v>
      </c>
    </row>
    <row r="1198" spans="1:16" x14ac:dyDescent="0.45">
      <c r="A1198" t="s">
        <v>48</v>
      </c>
      <c r="B1198" t="s">
        <v>30</v>
      </c>
      <c r="C1198" t="s">
        <v>28</v>
      </c>
      <c r="D1198" t="s">
        <v>49</v>
      </c>
      <c r="E1198">
        <v>30</v>
      </c>
      <c r="F1198">
        <v>40</v>
      </c>
      <c r="G1198" t="s">
        <v>65</v>
      </c>
      <c r="H1198" t="s">
        <v>35</v>
      </c>
      <c r="I1198" s="24">
        <v>46112</v>
      </c>
      <c r="J1198" t="s">
        <v>117</v>
      </c>
      <c r="K1198" t="s">
        <v>117</v>
      </c>
      <c r="L1198" t="s">
        <v>117</v>
      </c>
      <c r="M1198">
        <v>7</v>
      </c>
      <c r="N1198">
        <v>210</v>
      </c>
      <c r="O1198">
        <v>5.7142857142857144</v>
      </c>
      <c r="P1198">
        <v>0</v>
      </c>
    </row>
    <row r="1199" spans="1:16" x14ac:dyDescent="0.45">
      <c r="A1199" t="s">
        <v>50</v>
      </c>
      <c r="B1199" t="s">
        <v>27</v>
      </c>
      <c r="C1199" t="s">
        <v>28</v>
      </c>
      <c r="D1199" t="s">
        <v>49</v>
      </c>
      <c r="E1199">
        <v>25</v>
      </c>
      <c r="F1199">
        <v>40</v>
      </c>
      <c r="G1199" t="s">
        <v>65</v>
      </c>
      <c r="H1199" t="s">
        <v>37</v>
      </c>
      <c r="I1199" s="24">
        <v>46112</v>
      </c>
      <c r="J1199" t="s">
        <v>117</v>
      </c>
      <c r="K1199" t="s">
        <v>117</v>
      </c>
      <c r="L1199" t="s">
        <v>117</v>
      </c>
      <c r="M1199">
        <v>7</v>
      </c>
      <c r="N1199">
        <v>175</v>
      </c>
      <c r="O1199">
        <v>5.7142857142857144</v>
      </c>
      <c r="P1199">
        <v>0</v>
      </c>
    </row>
    <row r="1200" spans="1:16" x14ac:dyDescent="0.45">
      <c r="A1200" t="s">
        <v>51</v>
      </c>
      <c r="B1200" t="s">
        <v>27</v>
      </c>
      <c r="C1200" t="s">
        <v>28</v>
      </c>
      <c r="D1200" t="s">
        <v>49</v>
      </c>
      <c r="E1200">
        <v>25</v>
      </c>
      <c r="F1200">
        <v>40</v>
      </c>
      <c r="G1200" t="s">
        <v>65</v>
      </c>
      <c r="H1200" t="s">
        <v>35</v>
      </c>
      <c r="I1200" s="24">
        <v>46112</v>
      </c>
      <c r="J1200" t="s">
        <v>117</v>
      </c>
      <c r="K1200" t="s">
        <v>117</v>
      </c>
      <c r="L1200" t="s">
        <v>117</v>
      </c>
      <c r="M1200">
        <v>7</v>
      </c>
      <c r="N1200">
        <v>175</v>
      </c>
      <c r="O1200">
        <v>5.7142857142857144</v>
      </c>
      <c r="P1200">
        <v>0</v>
      </c>
    </row>
    <row r="1201" spans="1:16" x14ac:dyDescent="0.45">
      <c r="A1201" t="s">
        <v>52</v>
      </c>
      <c r="B1201" t="s">
        <v>26</v>
      </c>
      <c r="C1201" t="s">
        <v>26</v>
      </c>
      <c r="D1201" t="s">
        <v>49</v>
      </c>
      <c r="E1201">
        <v>35</v>
      </c>
      <c r="F1201">
        <v>40</v>
      </c>
      <c r="G1201" t="s">
        <v>65</v>
      </c>
      <c r="H1201" t="s">
        <v>42</v>
      </c>
      <c r="I1201" s="24">
        <v>46112</v>
      </c>
      <c r="J1201" t="s">
        <v>117</v>
      </c>
      <c r="K1201" t="s">
        <v>117</v>
      </c>
      <c r="L1201" t="s">
        <v>117</v>
      </c>
      <c r="M1201">
        <v>8</v>
      </c>
      <c r="N1201">
        <v>280</v>
      </c>
      <c r="O1201">
        <v>5.7142857142857144</v>
      </c>
      <c r="P1201">
        <v>0</v>
      </c>
    </row>
    <row r="1202" spans="1:16" x14ac:dyDescent="0.45">
      <c r="A1202" t="s">
        <v>53</v>
      </c>
      <c r="B1202" t="s">
        <v>26</v>
      </c>
      <c r="C1202" t="s">
        <v>26</v>
      </c>
      <c r="D1202" t="s">
        <v>49</v>
      </c>
      <c r="E1202">
        <v>35</v>
      </c>
      <c r="F1202">
        <v>40</v>
      </c>
      <c r="G1202" t="s">
        <v>65</v>
      </c>
      <c r="H1202" t="s">
        <v>44</v>
      </c>
      <c r="I1202" s="24">
        <v>46112</v>
      </c>
      <c r="J1202" t="s">
        <v>117</v>
      </c>
      <c r="K1202" t="s">
        <v>117</v>
      </c>
      <c r="L1202" t="s">
        <v>117</v>
      </c>
      <c r="M1202">
        <v>8</v>
      </c>
      <c r="N1202">
        <v>280</v>
      </c>
      <c r="O1202">
        <v>5.7142857142857144</v>
      </c>
      <c r="P1202">
        <v>0</v>
      </c>
    </row>
    <row r="1203" spans="1:16" x14ac:dyDescent="0.45">
      <c r="A1203" t="s">
        <v>54</v>
      </c>
      <c r="B1203" t="s">
        <v>25</v>
      </c>
      <c r="C1203" t="s">
        <v>26</v>
      </c>
      <c r="D1203" t="s">
        <v>49</v>
      </c>
      <c r="E1203">
        <v>28</v>
      </c>
      <c r="F1203">
        <v>40</v>
      </c>
      <c r="G1203" t="s">
        <v>65</v>
      </c>
      <c r="H1203" t="s">
        <v>41</v>
      </c>
      <c r="I1203" s="24">
        <v>46112</v>
      </c>
      <c r="J1203" t="s">
        <v>117</v>
      </c>
      <c r="K1203" t="s">
        <v>117</v>
      </c>
      <c r="L1203" t="s">
        <v>117</v>
      </c>
      <c r="M1203">
        <v>0</v>
      </c>
      <c r="N1203">
        <v>0</v>
      </c>
      <c r="O1203">
        <v>5.7142857142857144</v>
      </c>
      <c r="P1203">
        <v>0</v>
      </c>
    </row>
    <row r="1204" spans="1:16" x14ac:dyDescent="0.45">
      <c r="A1204" t="s">
        <v>55</v>
      </c>
      <c r="B1204" t="s">
        <v>25</v>
      </c>
      <c r="C1204" t="s">
        <v>26</v>
      </c>
      <c r="D1204" t="s">
        <v>49</v>
      </c>
      <c r="E1204">
        <v>28</v>
      </c>
      <c r="F1204">
        <v>40</v>
      </c>
      <c r="G1204" t="s">
        <v>65</v>
      </c>
      <c r="H1204" t="s">
        <v>44</v>
      </c>
      <c r="I1204" s="24">
        <v>46112</v>
      </c>
      <c r="J1204" t="s">
        <v>117</v>
      </c>
      <c r="K1204" t="s">
        <v>117</v>
      </c>
      <c r="L1204" t="s">
        <v>117</v>
      </c>
      <c r="M1204">
        <v>8</v>
      </c>
      <c r="N1204">
        <v>224</v>
      </c>
      <c r="O1204">
        <v>5.7142857142857144</v>
      </c>
      <c r="P1204">
        <v>0</v>
      </c>
    </row>
    <row r="1205" spans="1:16" x14ac:dyDescent="0.45">
      <c r="A1205" t="s">
        <v>56</v>
      </c>
      <c r="B1205" t="s">
        <v>29</v>
      </c>
      <c r="C1205" t="s">
        <v>29</v>
      </c>
      <c r="D1205" t="s">
        <v>49</v>
      </c>
      <c r="E1205">
        <v>20</v>
      </c>
      <c r="F1205">
        <v>40</v>
      </c>
      <c r="G1205" t="s">
        <v>65</v>
      </c>
      <c r="H1205" t="s">
        <v>45</v>
      </c>
      <c r="I1205" s="24">
        <v>46112</v>
      </c>
      <c r="J1205" t="s">
        <v>117</v>
      </c>
      <c r="K1205" t="s">
        <v>117</v>
      </c>
      <c r="L1205" t="s">
        <v>117</v>
      </c>
      <c r="M1205">
        <v>8</v>
      </c>
      <c r="N1205">
        <v>160</v>
      </c>
      <c r="O1205">
        <v>5.7142857142857144</v>
      </c>
      <c r="P1205">
        <v>0</v>
      </c>
    </row>
    <row r="1206" spans="1:16" x14ac:dyDescent="0.45">
      <c r="A1206" t="s">
        <v>57</v>
      </c>
      <c r="B1206" t="s">
        <v>29</v>
      </c>
      <c r="C1206" t="s">
        <v>29</v>
      </c>
      <c r="D1206" t="s">
        <v>49</v>
      </c>
      <c r="E1206">
        <v>20</v>
      </c>
      <c r="F1206">
        <v>40</v>
      </c>
      <c r="G1206" t="s">
        <v>65</v>
      </c>
      <c r="H1206" t="s">
        <v>44</v>
      </c>
      <c r="I1206" s="24">
        <v>46112</v>
      </c>
      <c r="J1206" t="s">
        <v>117</v>
      </c>
      <c r="K1206" t="s">
        <v>117</v>
      </c>
      <c r="L1206" t="s">
        <v>117</v>
      </c>
      <c r="M1206">
        <v>8</v>
      </c>
      <c r="N1206">
        <v>160</v>
      </c>
      <c r="O1206">
        <v>5.7142857142857144</v>
      </c>
      <c r="P1206">
        <v>0</v>
      </c>
    </row>
    <row r="1207" spans="1:16" x14ac:dyDescent="0.45">
      <c r="A1207" t="s">
        <v>58</v>
      </c>
      <c r="B1207" t="s">
        <v>29</v>
      </c>
      <c r="C1207" t="s">
        <v>29</v>
      </c>
      <c r="D1207" t="s">
        <v>49</v>
      </c>
      <c r="E1207">
        <v>20</v>
      </c>
      <c r="F1207">
        <v>40</v>
      </c>
      <c r="G1207" t="s">
        <v>65</v>
      </c>
      <c r="H1207" t="s">
        <v>41</v>
      </c>
      <c r="I1207" s="24">
        <v>46112</v>
      </c>
      <c r="J1207" t="s">
        <v>117</v>
      </c>
      <c r="K1207" t="s">
        <v>117</v>
      </c>
      <c r="L1207" t="s">
        <v>117</v>
      </c>
      <c r="M1207">
        <v>0</v>
      </c>
      <c r="N1207">
        <v>0</v>
      </c>
      <c r="O1207">
        <v>5.7142857142857144</v>
      </c>
      <c r="P1207">
        <v>0</v>
      </c>
    </row>
    <row r="1208" spans="1:16" x14ac:dyDescent="0.45">
      <c r="A1208" t="s">
        <v>59</v>
      </c>
      <c r="B1208" t="s">
        <v>29</v>
      </c>
      <c r="C1208" t="s">
        <v>29</v>
      </c>
      <c r="D1208" t="s">
        <v>60</v>
      </c>
      <c r="E1208">
        <v>15</v>
      </c>
      <c r="F1208">
        <v>20</v>
      </c>
      <c r="G1208" t="s">
        <v>65</v>
      </c>
      <c r="H1208" t="s">
        <v>46</v>
      </c>
      <c r="I1208" s="24">
        <v>46112</v>
      </c>
      <c r="J1208" t="s">
        <v>117</v>
      </c>
      <c r="K1208" t="s">
        <v>117</v>
      </c>
      <c r="L1208" t="s">
        <v>117</v>
      </c>
      <c r="M1208">
        <v>5</v>
      </c>
      <c r="N1208">
        <v>75</v>
      </c>
      <c r="O1208">
        <v>2.8571428571428572</v>
      </c>
      <c r="P1208">
        <v>0</v>
      </c>
    </row>
    <row r="1209" spans="1:16" x14ac:dyDescent="0.45">
      <c r="A1209" t="s">
        <v>61</v>
      </c>
      <c r="B1209" t="s">
        <v>29</v>
      </c>
      <c r="C1209" t="s">
        <v>29</v>
      </c>
      <c r="D1209" t="s">
        <v>60</v>
      </c>
      <c r="E1209">
        <v>15</v>
      </c>
      <c r="F1209">
        <v>20</v>
      </c>
      <c r="G1209" t="s">
        <v>65</v>
      </c>
      <c r="H1209" t="s">
        <v>40</v>
      </c>
      <c r="I1209" s="24">
        <v>46112</v>
      </c>
      <c r="J1209" t="s">
        <v>117</v>
      </c>
      <c r="K1209" t="s">
        <v>117</v>
      </c>
      <c r="L1209" t="s">
        <v>117</v>
      </c>
      <c r="M1209">
        <v>5</v>
      </c>
      <c r="N1209">
        <v>75</v>
      </c>
      <c r="O1209">
        <v>2.8571428571428572</v>
      </c>
      <c r="P1209">
        <v>0</v>
      </c>
    </row>
    <row r="1210" spans="1:16" x14ac:dyDescent="0.45">
      <c r="A1210" t="s">
        <v>62</v>
      </c>
      <c r="B1210" t="s">
        <v>29</v>
      </c>
      <c r="C1210" t="s">
        <v>29</v>
      </c>
      <c r="D1210" t="s">
        <v>60</v>
      </c>
      <c r="E1210">
        <v>15</v>
      </c>
      <c r="F1210">
        <v>20</v>
      </c>
      <c r="G1210" t="s">
        <v>65</v>
      </c>
      <c r="H1210" t="s">
        <v>40</v>
      </c>
      <c r="I1210" s="24">
        <v>46112</v>
      </c>
      <c r="J1210" t="s">
        <v>117</v>
      </c>
      <c r="K1210" t="s">
        <v>117</v>
      </c>
      <c r="L1210" t="s">
        <v>117</v>
      </c>
      <c r="M1210">
        <v>5</v>
      </c>
      <c r="N1210">
        <v>75</v>
      </c>
      <c r="O1210">
        <v>2.8571428571428572</v>
      </c>
      <c r="P1210">
        <v>0</v>
      </c>
    </row>
    <row r="1211" spans="1:16" x14ac:dyDescent="0.45">
      <c r="A1211" t="s">
        <v>48</v>
      </c>
      <c r="B1211" t="s">
        <v>30</v>
      </c>
      <c r="C1211" t="s">
        <v>28</v>
      </c>
      <c r="D1211" t="s">
        <v>49</v>
      </c>
      <c r="E1211">
        <v>30</v>
      </c>
      <c r="F1211">
        <v>40</v>
      </c>
      <c r="G1211" t="s">
        <v>66</v>
      </c>
      <c r="H1211" t="s">
        <v>40</v>
      </c>
      <c r="I1211" s="24">
        <v>46113</v>
      </c>
      <c r="J1211" t="s">
        <v>117</v>
      </c>
      <c r="K1211" t="s">
        <v>117</v>
      </c>
      <c r="L1211" t="s">
        <v>117</v>
      </c>
      <c r="M1211">
        <v>5</v>
      </c>
      <c r="N1211">
        <v>150</v>
      </c>
      <c r="O1211">
        <v>5.7142857142857144</v>
      </c>
      <c r="P1211">
        <v>0</v>
      </c>
    </row>
    <row r="1212" spans="1:16" x14ac:dyDescent="0.45">
      <c r="A1212" t="s">
        <v>50</v>
      </c>
      <c r="B1212" t="s">
        <v>27</v>
      </c>
      <c r="C1212" t="s">
        <v>28</v>
      </c>
      <c r="D1212" t="s">
        <v>49</v>
      </c>
      <c r="E1212">
        <v>25</v>
      </c>
      <c r="F1212">
        <v>40</v>
      </c>
      <c r="G1212" t="s">
        <v>66</v>
      </c>
      <c r="H1212" t="s">
        <v>41</v>
      </c>
      <c r="I1212" s="24">
        <v>46113</v>
      </c>
      <c r="J1212" t="s">
        <v>117</v>
      </c>
      <c r="K1212" t="s">
        <v>117</v>
      </c>
      <c r="L1212" t="s">
        <v>117</v>
      </c>
      <c r="M1212">
        <v>0</v>
      </c>
      <c r="N1212">
        <v>0</v>
      </c>
      <c r="O1212">
        <v>5.7142857142857144</v>
      </c>
      <c r="P1212">
        <v>0</v>
      </c>
    </row>
    <row r="1213" spans="1:16" x14ac:dyDescent="0.45">
      <c r="A1213" t="s">
        <v>51</v>
      </c>
      <c r="B1213" t="s">
        <v>27</v>
      </c>
      <c r="C1213" t="s">
        <v>28</v>
      </c>
      <c r="D1213" t="s">
        <v>49</v>
      </c>
      <c r="E1213">
        <v>25</v>
      </c>
      <c r="F1213">
        <v>40</v>
      </c>
      <c r="G1213" t="s">
        <v>66</v>
      </c>
      <c r="H1213" t="s">
        <v>35</v>
      </c>
      <c r="I1213" s="24">
        <v>46113</v>
      </c>
      <c r="J1213" t="s">
        <v>117</v>
      </c>
      <c r="K1213" t="s">
        <v>117</v>
      </c>
      <c r="L1213" t="s">
        <v>117</v>
      </c>
      <c r="M1213">
        <v>7</v>
      </c>
      <c r="N1213">
        <v>175</v>
      </c>
      <c r="O1213">
        <v>5.7142857142857144</v>
      </c>
      <c r="P1213">
        <v>0</v>
      </c>
    </row>
    <row r="1214" spans="1:16" x14ac:dyDescent="0.45">
      <c r="A1214" t="s">
        <v>52</v>
      </c>
      <c r="B1214" t="s">
        <v>26</v>
      </c>
      <c r="C1214" t="s">
        <v>26</v>
      </c>
      <c r="D1214" t="s">
        <v>49</v>
      </c>
      <c r="E1214">
        <v>35</v>
      </c>
      <c r="F1214">
        <v>40</v>
      </c>
      <c r="G1214" t="s">
        <v>66</v>
      </c>
      <c r="H1214" t="s">
        <v>41</v>
      </c>
      <c r="I1214" s="24">
        <v>46113</v>
      </c>
      <c r="J1214" t="s">
        <v>117</v>
      </c>
      <c r="K1214" t="s">
        <v>117</v>
      </c>
      <c r="L1214" t="s">
        <v>117</v>
      </c>
      <c r="M1214">
        <v>0</v>
      </c>
      <c r="N1214">
        <v>0</v>
      </c>
      <c r="O1214">
        <v>5.7142857142857144</v>
      </c>
      <c r="P1214">
        <v>0</v>
      </c>
    </row>
    <row r="1215" spans="1:16" x14ac:dyDescent="0.45">
      <c r="A1215" t="s">
        <v>53</v>
      </c>
      <c r="B1215" t="s">
        <v>26</v>
      </c>
      <c r="C1215" t="s">
        <v>26</v>
      </c>
      <c r="D1215" t="s">
        <v>49</v>
      </c>
      <c r="E1215">
        <v>35</v>
      </c>
      <c r="F1215">
        <v>40</v>
      </c>
      <c r="G1215" t="s">
        <v>66</v>
      </c>
      <c r="H1215" t="s">
        <v>44</v>
      </c>
      <c r="I1215" s="24">
        <v>46113</v>
      </c>
      <c r="J1215" t="s">
        <v>117</v>
      </c>
      <c r="K1215" t="s">
        <v>117</v>
      </c>
      <c r="L1215" t="s">
        <v>117</v>
      </c>
      <c r="M1215">
        <v>8</v>
      </c>
      <c r="N1215">
        <v>280</v>
      </c>
      <c r="O1215">
        <v>5.7142857142857144</v>
      </c>
      <c r="P1215">
        <v>0</v>
      </c>
    </row>
    <row r="1216" spans="1:16" x14ac:dyDescent="0.45">
      <c r="A1216" t="s">
        <v>54</v>
      </c>
      <c r="B1216" t="s">
        <v>25</v>
      </c>
      <c r="C1216" t="s">
        <v>26</v>
      </c>
      <c r="D1216" t="s">
        <v>49</v>
      </c>
      <c r="E1216">
        <v>28</v>
      </c>
      <c r="F1216">
        <v>40</v>
      </c>
      <c r="G1216" t="s">
        <v>66</v>
      </c>
      <c r="H1216" t="s">
        <v>42</v>
      </c>
      <c r="I1216" s="24">
        <v>46113</v>
      </c>
      <c r="J1216" t="s">
        <v>117</v>
      </c>
      <c r="K1216" t="s">
        <v>117</v>
      </c>
      <c r="L1216" t="s">
        <v>117</v>
      </c>
      <c r="M1216">
        <v>8</v>
      </c>
      <c r="N1216">
        <v>224</v>
      </c>
      <c r="O1216">
        <v>5.7142857142857144</v>
      </c>
      <c r="P1216">
        <v>0</v>
      </c>
    </row>
    <row r="1217" spans="1:16" x14ac:dyDescent="0.45">
      <c r="A1217" t="s">
        <v>55</v>
      </c>
      <c r="B1217" t="s">
        <v>25</v>
      </c>
      <c r="C1217" t="s">
        <v>26</v>
      </c>
      <c r="D1217" t="s">
        <v>49</v>
      </c>
      <c r="E1217">
        <v>28</v>
      </c>
      <c r="F1217">
        <v>40</v>
      </c>
      <c r="G1217" t="s">
        <v>66</v>
      </c>
      <c r="H1217" t="s">
        <v>44</v>
      </c>
      <c r="I1217" s="24">
        <v>46113</v>
      </c>
      <c r="J1217" t="s">
        <v>117</v>
      </c>
      <c r="K1217" t="s">
        <v>117</v>
      </c>
      <c r="L1217" t="s">
        <v>117</v>
      </c>
      <c r="M1217">
        <v>8</v>
      </c>
      <c r="N1217">
        <v>224</v>
      </c>
      <c r="O1217">
        <v>5.7142857142857144</v>
      </c>
      <c r="P1217">
        <v>0</v>
      </c>
    </row>
    <row r="1218" spans="1:16" x14ac:dyDescent="0.45">
      <c r="A1218" t="s">
        <v>56</v>
      </c>
      <c r="B1218" t="s">
        <v>29</v>
      </c>
      <c r="C1218" t="s">
        <v>29</v>
      </c>
      <c r="D1218" t="s">
        <v>49</v>
      </c>
      <c r="E1218">
        <v>20</v>
      </c>
      <c r="F1218">
        <v>40</v>
      </c>
      <c r="G1218" t="s">
        <v>66</v>
      </c>
      <c r="H1218" t="s">
        <v>45</v>
      </c>
      <c r="I1218" s="24">
        <v>46113</v>
      </c>
      <c r="J1218" t="s">
        <v>117</v>
      </c>
      <c r="K1218" t="s">
        <v>117</v>
      </c>
      <c r="L1218" t="s">
        <v>117</v>
      </c>
      <c r="M1218">
        <v>8</v>
      </c>
      <c r="N1218">
        <v>160</v>
      </c>
      <c r="O1218">
        <v>5.7142857142857144</v>
      </c>
      <c r="P1218">
        <v>0</v>
      </c>
    </row>
    <row r="1219" spans="1:16" x14ac:dyDescent="0.45">
      <c r="A1219" t="s">
        <v>57</v>
      </c>
      <c r="B1219" t="s">
        <v>29</v>
      </c>
      <c r="C1219" t="s">
        <v>29</v>
      </c>
      <c r="D1219" t="s">
        <v>49</v>
      </c>
      <c r="E1219">
        <v>20</v>
      </c>
      <c r="F1219">
        <v>40</v>
      </c>
      <c r="G1219" t="s">
        <v>66</v>
      </c>
      <c r="H1219" t="s">
        <v>44</v>
      </c>
      <c r="I1219" s="24">
        <v>46113</v>
      </c>
      <c r="J1219" t="s">
        <v>117</v>
      </c>
      <c r="K1219" t="s">
        <v>117</v>
      </c>
      <c r="L1219" t="s">
        <v>117</v>
      </c>
      <c r="M1219">
        <v>8</v>
      </c>
      <c r="N1219">
        <v>160</v>
      </c>
      <c r="O1219">
        <v>5.7142857142857144</v>
      </c>
      <c r="P1219">
        <v>0</v>
      </c>
    </row>
    <row r="1220" spans="1:16" x14ac:dyDescent="0.45">
      <c r="A1220" t="s">
        <v>58</v>
      </c>
      <c r="B1220" t="s">
        <v>29</v>
      </c>
      <c r="C1220" t="s">
        <v>29</v>
      </c>
      <c r="D1220" t="s">
        <v>49</v>
      </c>
      <c r="E1220">
        <v>20</v>
      </c>
      <c r="F1220">
        <v>40</v>
      </c>
      <c r="G1220" t="s">
        <v>66</v>
      </c>
      <c r="H1220" t="s">
        <v>41</v>
      </c>
      <c r="I1220" s="24">
        <v>46113</v>
      </c>
      <c r="J1220" t="s">
        <v>117</v>
      </c>
      <c r="K1220" t="s">
        <v>117</v>
      </c>
      <c r="L1220" t="s">
        <v>117</v>
      </c>
      <c r="M1220">
        <v>0</v>
      </c>
      <c r="N1220">
        <v>0</v>
      </c>
      <c r="O1220">
        <v>5.7142857142857144</v>
      </c>
      <c r="P1220">
        <v>0</v>
      </c>
    </row>
    <row r="1221" spans="1:16" x14ac:dyDescent="0.45">
      <c r="A1221" t="s">
        <v>59</v>
      </c>
      <c r="B1221" t="s">
        <v>29</v>
      </c>
      <c r="C1221" t="s">
        <v>29</v>
      </c>
      <c r="D1221" t="s">
        <v>60</v>
      </c>
      <c r="E1221">
        <v>15</v>
      </c>
      <c r="F1221">
        <v>20</v>
      </c>
      <c r="G1221" t="s">
        <v>66</v>
      </c>
      <c r="H1221" t="s">
        <v>46</v>
      </c>
      <c r="I1221" s="24">
        <v>46113</v>
      </c>
      <c r="J1221" t="s">
        <v>117</v>
      </c>
      <c r="K1221" t="s">
        <v>117</v>
      </c>
      <c r="L1221" t="s">
        <v>117</v>
      </c>
      <c r="M1221">
        <v>5</v>
      </c>
      <c r="N1221">
        <v>75</v>
      </c>
      <c r="O1221">
        <v>2.8571428571428572</v>
      </c>
      <c r="P1221">
        <v>0</v>
      </c>
    </row>
    <row r="1222" spans="1:16" x14ac:dyDescent="0.45">
      <c r="A1222" t="s">
        <v>61</v>
      </c>
      <c r="B1222" t="s">
        <v>29</v>
      </c>
      <c r="C1222" t="s">
        <v>29</v>
      </c>
      <c r="D1222" t="s">
        <v>60</v>
      </c>
      <c r="E1222">
        <v>15</v>
      </c>
      <c r="F1222">
        <v>20</v>
      </c>
      <c r="G1222" t="s">
        <v>66</v>
      </c>
      <c r="H1222" t="s">
        <v>41</v>
      </c>
      <c r="I1222" s="24">
        <v>46113</v>
      </c>
      <c r="J1222" t="s">
        <v>117</v>
      </c>
      <c r="K1222" t="s">
        <v>117</v>
      </c>
      <c r="L1222" t="s">
        <v>117</v>
      </c>
      <c r="M1222">
        <v>0</v>
      </c>
      <c r="N1222">
        <v>0</v>
      </c>
      <c r="O1222">
        <v>2.8571428571428572</v>
      </c>
      <c r="P1222">
        <v>0</v>
      </c>
    </row>
    <row r="1223" spans="1:16" x14ac:dyDescent="0.45">
      <c r="A1223" t="s">
        <v>62</v>
      </c>
      <c r="B1223" t="s">
        <v>29</v>
      </c>
      <c r="C1223" t="s">
        <v>29</v>
      </c>
      <c r="D1223" t="s">
        <v>60</v>
      </c>
      <c r="E1223">
        <v>15</v>
      </c>
      <c r="F1223">
        <v>20</v>
      </c>
      <c r="G1223" t="s">
        <v>66</v>
      </c>
      <c r="H1223" t="s">
        <v>41</v>
      </c>
      <c r="I1223" s="24">
        <v>46113</v>
      </c>
      <c r="J1223" t="s">
        <v>117</v>
      </c>
      <c r="K1223" t="s">
        <v>117</v>
      </c>
      <c r="L1223" t="s">
        <v>117</v>
      </c>
      <c r="M1223">
        <v>0</v>
      </c>
      <c r="N1223">
        <v>0</v>
      </c>
      <c r="O1223">
        <v>2.8571428571428572</v>
      </c>
      <c r="P1223">
        <v>0</v>
      </c>
    </row>
    <row r="1224" spans="1:16" x14ac:dyDescent="0.45">
      <c r="A1224" t="s">
        <v>48</v>
      </c>
      <c r="B1224" t="s">
        <v>30</v>
      </c>
      <c r="C1224" t="s">
        <v>28</v>
      </c>
      <c r="D1224" t="s">
        <v>49</v>
      </c>
      <c r="E1224">
        <v>30</v>
      </c>
      <c r="F1224">
        <v>40</v>
      </c>
      <c r="G1224" t="s">
        <v>67</v>
      </c>
      <c r="H1224" t="s">
        <v>41</v>
      </c>
      <c r="I1224" s="24">
        <v>46114</v>
      </c>
      <c r="J1224" t="s">
        <v>117</v>
      </c>
      <c r="K1224" t="s">
        <v>117</v>
      </c>
      <c r="L1224" t="s">
        <v>117</v>
      </c>
      <c r="M1224">
        <v>0</v>
      </c>
      <c r="N1224">
        <v>0</v>
      </c>
      <c r="O1224">
        <v>5.7142857142857144</v>
      </c>
      <c r="P1224">
        <v>0</v>
      </c>
    </row>
    <row r="1225" spans="1:16" x14ac:dyDescent="0.45">
      <c r="A1225" t="s">
        <v>50</v>
      </c>
      <c r="B1225" t="s">
        <v>27</v>
      </c>
      <c r="C1225" t="s">
        <v>28</v>
      </c>
      <c r="D1225" t="s">
        <v>49</v>
      </c>
      <c r="E1225">
        <v>25</v>
      </c>
      <c r="F1225">
        <v>40</v>
      </c>
      <c r="G1225" t="s">
        <v>67</v>
      </c>
      <c r="H1225" t="s">
        <v>37</v>
      </c>
      <c r="I1225" s="24">
        <v>46114</v>
      </c>
      <c r="J1225" t="s">
        <v>117</v>
      </c>
      <c r="K1225" t="s">
        <v>117</v>
      </c>
      <c r="L1225" t="s">
        <v>117</v>
      </c>
      <c r="M1225">
        <v>7</v>
      </c>
      <c r="N1225">
        <v>175</v>
      </c>
      <c r="O1225">
        <v>5.7142857142857144</v>
      </c>
      <c r="P1225">
        <v>0</v>
      </c>
    </row>
    <row r="1226" spans="1:16" x14ac:dyDescent="0.45">
      <c r="A1226" t="s">
        <v>51</v>
      </c>
      <c r="B1226" t="s">
        <v>27</v>
      </c>
      <c r="C1226" t="s">
        <v>28</v>
      </c>
      <c r="D1226" t="s">
        <v>49</v>
      </c>
      <c r="E1226">
        <v>25</v>
      </c>
      <c r="F1226">
        <v>40</v>
      </c>
      <c r="G1226" t="s">
        <v>67</v>
      </c>
      <c r="H1226" t="s">
        <v>35</v>
      </c>
      <c r="I1226" s="24">
        <v>46114</v>
      </c>
      <c r="J1226" t="s">
        <v>117</v>
      </c>
      <c r="K1226" t="s">
        <v>117</v>
      </c>
      <c r="L1226" t="s">
        <v>117</v>
      </c>
      <c r="M1226">
        <v>7</v>
      </c>
      <c r="N1226">
        <v>175</v>
      </c>
      <c r="O1226">
        <v>5.7142857142857144</v>
      </c>
      <c r="P1226">
        <v>0</v>
      </c>
    </row>
    <row r="1227" spans="1:16" x14ac:dyDescent="0.45">
      <c r="A1227" t="s">
        <v>52</v>
      </c>
      <c r="B1227" t="s">
        <v>26</v>
      </c>
      <c r="C1227" t="s">
        <v>26</v>
      </c>
      <c r="D1227" t="s">
        <v>49</v>
      </c>
      <c r="E1227">
        <v>35</v>
      </c>
      <c r="F1227">
        <v>40</v>
      </c>
      <c r="G1227" t="s">
        <v>67</v>
      </c>
      <c r="H1227" t="s">
        <v>42</v>
      </c>
      <c r="I1227" s="24">
        <v>46114</v>
      </c>
      <c r="J1227" t="s">
        <v>117</v>
      </c>
      <c r="K1227" t="s">
        <v>117</v>
      </c>
      <c r="L1227" t="s">
        <v>117</v>
      </c>
      <c r="M1227">
        <v>8</v>
      </c>
      <c r="N1227">
        <v>280</v>
      </c>
      <c r="O1227">
        <v>5.7142857142857144</v>
      </c>
      <c r="P1227">
        <v>0</v>
      </c>
    </row>
    <row r="1228" spans="1:16" x14ac:dyDescent="0.45">
      <c r="A1228" t="s">
        <v>53</v>
      </c>
      <c r="B1228" t="s">
        <v>26</v>
      </c>
      <c r="C1228" t="s">
        <v>26</v>
      </c>
      <c r="D1228" t="s">
        <v>49</v>
      </c>
      <c r="E1228">
        <v>35</v>
      </c>
      <c r="F1228">
        <v>40</v>
      </c>
      <c r="G1228" t="s">
        <v>67</v>
      </c>
      <c r="H1228" t="s">
        <v>41</v>
      </c>
      <c r="I1228" s="24">
        <v>46114</v>
      </c>
      <c r="J1228" t="s">
        <v>117</v>
      </c>
      <c r="K1228" t="s">
        <v>117</v>
      </c>
      <c r="L1228" t="s">
        <v>117</v>
      </c>
      <c r="M1228">
        <v>0</v>
      </c>
      <c r="N1228">
        <v>0</v>
      </c>
      <c r="O1228">
        <v>5.7142857142857144</v>
      </c>
      <c r="P1228">
        <v>0</v>
      </c>
    </row>
    <row r="1229" spans="1:16" x14ac:dyDescent="0.45">
      <c r="A1229" t="s">
        <v>54</v>
      </c>
      <c r="B1229" t="s">
        <v>25</v>
      </c>
      <c r="C1229" t="s">
        <v>26</v>
      </c>
      <c r="D1229" t="s">
        <v>49</v>
      </c>
      <c r="E1229">
        <v>28</v>
      </c>
      <c r="F1229">
        <v>40</v>
      </c>
      <c r="G1229" t="s">
        <v>67</v>
      </c>
      <c r="H1229" t="s">
        <v>44</v>
      </c>
      <c r="I1229" s="24">
        <v>46114</v>
      </c>
      <c r="J1229" t="s">
        <v>117</v>
      </c>
      <c r="K1229" t="s">
        <v>117</v>
      </c>
      <c r="L1229" t="s">
        <v>117</v>
      </c>
      <c r="M1229">
        <v>8</v>
      </c>
      <c r="N1229">
        <v>224</v>
      </c>
      <c r="O1229">
        <v>5.7142857142857144</v>
      </c>
      <c r="P1229">
        <v>0</v>
      </c>
    </row>
    <row r="1230" spans="1:16" x14ac:dyDescent="0.45">
      <c r="A1230" t="s">
        <v>55</v>
      </c>
      <c r="B1230" t="s">
        <v>25</v>
      </c>
      <c r="C1230" t="s">
        <v>26</v>
      </c>
      <c r="D1230" t="s">
        <v>49</v>
      </c>
      <c r="E1230">
        <v>28</v>
      </c>
      <c r="F1230">
        <v>40</v>
      </c>
      <c r="G1230" t="s">
        <v>67</v>
      </c>
      <c r="H1230" t="s">
        <v>44</v>
      </c>
      <c r="I1230" s="24">
        <v>46114</v>
      </c>
      <c r="J1230" t="s">
        <v>117</v>
      </c>
      <c r="K1230" t="s">
        <v>117</v>
      </c>
      <c r="L1230" t="s">
        <v>117</v>
      </c>
      <c r="M1230">
        <v>8</v>
      </c>
      <c r="N1230">
        <v>224</v>
      </c>
      <c r="O1230">
        <v>5.7142857142857144</v>
      </c>
      <c r="P1230">
        <v>0</v>
      </c>
    </row>
    <row r="1231" spans="1:16" x14ac:dyDescent="0.45">
      <c r="A1231" t="s">
        <v>56</v>
      </c>
      <c r="B1231" t="s">
        <v>29</v>
      </c>
      <c r="C1231" t="s">
        <v>29</v>
      </c>
      <c r="D1231" t="s">
        <v>49</v>
      </c>
      <c r="E1231">
        <v>20</v>
      </c>
      <c r="F1231">
        <v>40</v>
      </c>
      <c r="G1231" t="s">
        <v>67</v>
      </c>
      <c r="H1231" t="s">
        <v>41</v>
      </c>
      <c r="I1231" s="24">
        <v>46114</v>
      </c>
      <c r="J1231" t="s">
        <v>117</v>
      </c>
      <c r="K1231" t="s">
        <v>117</v>
      </c>
      <c r="L1231" t="s">
        <v>117</v>
      </c>
      <c r="M1231">
        <v>0</v>
      </c>
      <c r="N1231">
        <v>0</v>
      </c>
      <c r="O1231">
        <v>5.7142857142857144</v>
      </c>
      <c r="P1231">
        <v>0</v>
      </c>
    </row>
    <row r="1232" spans="1:16" x14ac:dyDescent="0.45">
      <c r="A1232" t="s">
        <v>57</v>
      </c>
      <c r="B1232" t="s">
        <v>29</v>
      </c>
      <c r="C1232" t="s">
        <v>29</v>
      </c>
      <c r="D1232" t="s">
        <v>49</v>
      </c>
      <c r="E1232">
        <v>20</v>
      </c>
      <c r="F1232">
        <v>40</v>
      </c>
      <c r="G1232" t="s">
        <v>67</v>
      </c>
      <c r="H1232" t="s">
        <v>44</v>
      </c>
      <c r="I1232" s="24">
        <v>46114</v>
      </c>
      <c r="J1232" t="s">
        <v>117</v>
      </c>
      <c r="K1232" t="s">
        <v>117</v>
      </c>
      <c r="L1232" t="s">
        <v>117</v>
      </c>
      <c r="M1232">
        <v>8</v>
      </c>
      <c r="N1232">
        <v>160</v>
      </c>
      <c r="O1232">
        <v>5.7142857142857144</v>
      </c>
      <c r="P1232">
        <v>0</v>
      </c>
    </row>
    <row r="1233" spans="1:16" x14ac:dyDescent="0.45">
      <c r="A1233" t="s">
        <v>58</v>
      </c>
      <c r="B1233" t="s">
        <v>29</v>
      </c>
      <c r="C1233" t="s">
        <v>29</v>
      </c>
      <c r="D1233" t="s">
        <v>49</v>
      </c>
      <c r="E1233">
        <v>20</v>
      </c>
      <c r="F1233">
        <v>40</v>
      </c>
      <c r="G1233" t="s">
        <v>67</v>
      </c>
      <c r="H1233" t="s">
        <v>45</v>
      </c>
      <c r="I1233" s="24">
        <v>46114</v>
      </c>
      <c r="J1233" t="s">
        <v>117</v>
      </c>
      <c r="K1233" t="s">
        <v>117</v>
      </c>
      <c r="L1233" t="s">
        <v>117</v>
      </c>
      <c r="M1233">
        <v>8</v>
      </c>
      <c r="N1233">
        <v>160</v>
      </c>
      <c r="O1233">
        <v>5.7142857142857144</v>
      </c>
      <c r="P1233">
        <v>0</v>
      </c>
    </row>
    <row r="1234" spans="1:16" x14ac:dyDescent="0.45">
      <c r="A1234" t="s">
        <v>59</v>
      </c>
      <c r="B1234" t="s">
        <v>29</v>
      </c>
      <c r="C1234" t="s">
        <v>29</v>
      </c>
      <c r="D1234" t="s">
        <v>60</v>
      </c>
      <c r="E1234">
        <v>15</v>
      </c>
      <c r="F1234">
        <v>20</v>
      </c>
      <c r="G1234" t="s">
        <v>67</v>
      </c>
      <c r="H1234" t="s">
        <v>46</v>
      </c>
      <c r="I1234" s="24">
        <v>46114</v>
      </c>
      <c r="J1234" t="s">
        <v>117</v>
      </c>
      <c r="K1234" t="s">
        <v>117</v>
      </c>
      <c r="L1234" t="s">
        <v>117</v>
      </c>
      <c r="M1234">
        <v>5</v>
      </c>
      <c r="N1234">
        <v>75</v>
      </c>
      <c r="O1234">
        <v>2.8571428571428572</v>
      </c>
      <c r="P1234">
        <v>0</v>
      </c>
    </row>
    <row r="1235" spans="1:16" x14ac:dyDescent="0.45">
      <c r="A1235" t="s">
        <v>61</v>
      </c>
      <c r="B1235" t="s">
        <v>29</v>
      </c>
      <c r="C1235" t="s">
        <v>29</v>
      </c>
      <c r="D1235" t="s">
        <v>60</v>
      </c>
      <c r="E1235">
        <v>15</v>
      </c>
      <c r="F1235">
        <v>20</v>
      </c>
      <c r="G1235" t="s">
        <v>67</v>
      </c>
      <c r="H1235" t="s">
        <v>41</v>
      </c>
      <c r="I1235" s="24">
        <v>46114</v>
      </c>
      <c r="J1235" t="s">
        <v>117</v>
      </c>
      <c r="K1235" t="s">
        <v>117</v>
      </c>
      <c r="L1235" t="s">
        <v>117</v>
      </c>
      <c r="M1235">
        <v>0</v>
      </c>
      <c r="N1235">
        <v>0</v>
      </c>
      <c r="O1235">
        <v>2.8571428571428572</v>
      </c>
      <c r="P1235">
        <v>0</v>
      </c>
    </row>
    <row r="1236" spans="1:16" x14ac:dyDescent="0.45">
      <c r="A1236" t="s">
        <v>62</v>
      </c>
      <c r="B1236" t="s">
        <v>29</v>
      </c>
      <c r="C1236" t="s">
        <v>29</v>
      </c>
      <c r="D1236" t="s">
        <v>60</v>
      </c>
      <c r="E1236">
        <v>15</v>
      </c>
      <c r="F1236">
        <v>20</v>
      </c>
      <c r="G1236" t="s">
        <v>67</v>
      </c>
      <c r="H1236" t="s">
        <v>41</v>
      </c>
      <c r="I1236" s="24">
        <v>46114</v>
      </c>
      <c r="J1236" t="s">
        <v>117</v>
      </c>
      <c r="K1236" t="s">
        <v>117</v>
      </c>
      <c r="L1236" t="s">
        <v>117</v>
      </c>
      <c r="M1236">
        <v>0</v>
      </c>
      <c r="N1236">
        <v>0</v>
      </c>
      <c r="O1236">
        <v>2.8571428571428572</v>
      </c>
      <c r="P1236">
        <v>0</v>
      </c>
    </row>
    <row r="1237" spans="1:16" x14ac:dyDescent="0.45">
      <c r="A1237" t="s">
        <v>48</v>
      </c>
      <c r="B1237" t="s">
        <v>30</v>
      </c>
      <c r="C1237" t="s">
        <v>28</v>
      </c>
      <c r="D1237" t="s">
        <v>49</v>
      </c>
      <c r="E1237">
        <v>30</v>
      </c>
      <c r="F1237">
        <v>40</v>
      </c>
      <c r="G1237" t="s">
        <v>68</v>
      </c>
      <c r="H1237" t="s">
        <v>41</v>
      </c>
      <c r="I1237" s="24">
        <v>46115</v>
      </c>
      <c r="J1237" t="s">
        <v>118</v>
      </c>
      <c r="K1237" t="s">
        <v>117</v>
      </c>
      <c r="L1237" t="s">
        <v>118</v>
      </c>
      <c r="M1237">
        <v>0</v>
      </c>
      <c r="N1237">
        <v>0</v>
      </c>
      <c r="O1237">
        <v>5.7142857142857144</v>
      </c>
      <c r="P1237">
        <v>0</v>
      </c>
    </row>
    <row r="1238" spans="1:16" x14ac:dyDescent="0.45">
      <c r="A1238" t="s">
        <v>50</v>
      </c>
      <c r="B1238" t="s">
        <v>27</v>
      </c>
      <c r="C1238" t="s">
        <v>28</v>
      </c>
      <c r="D1238" t="s">
        <v>49</v>
      </c>
      <c r="E1238">
        <v>25</v>
      </c>
      <c r="F1238">
        <v>40</v>
      </c>
      <c r="G1238" t="s">
        <v>68</v>
      </c>
      <c r="H1238" t="s">
        <v>37</v>
      </c>
      <c r="I1238" s="24">
        <v>46115</v>
      </c>
      <c r="J1238" t="s">
        <v>118</v>
      </c>
      <c r="K1238" t="s">
        <v>117</v>
      </c>
      <c r="L1238" t="s">
        <v>118</v>
      </c>
      <c r="M1238">
        <v>7</v>
      </c>
      <c r="N1238">
        <v>262.5</v>
      </c>
      <c r="O1238">
        <v>5.7142857142857144</v>
      </c>
      <c r="P1238">
        <v>1</v>
      </c>
    </row>
    <row r="1239" spans="1:16" x14ac:dyDescent="0.45">
      <c r="A1239" t="s">
        <v>51</v>
      </c>
      <c r="B1239" t="s">
        <v>27</v>
      </c>
      <c r="C1239" t="s">
        <v>28</v>
      </c>
      <c r="D1239" t="s">
        <v>49</v>
      </c>
      <c r="E1239">
        <v>25</v>
      </c>
      <c r="F1239">
        <v>40</v>
      </c>
      <c r="G1239" t="s">
        <v>68</v>
      </c>
      <c r="H1239" t="s">
        <v>35</v>
      </c>
      <c r="I1239" s="24">
        <v>46115</v>
      </c>
      <c r="J1239" t="s">
        <v>118</v>
      </c>
      <c r="K1239" t="s">
        <v>117</v>
      </c>
      <c r="L1239" t="s">
        <v>118</v>
      </c>
      <c r="M1239">
        <v>7</v>
      </c>
      <c r="N1239">
        <v>262.5</v>
      </c>
      <c r="O1239">
        <v>5.7142857142857144</v>
      </c>
      <c r="P1239">
        <v>1</v>
      </c>
    </row>
    <row r="1240" spans="1:16" x14ac:dyDescent="0.45">
      <c r="A1240" t="s">
        <v>52</v>
      </c>
      <c r="B1240" t="s">
        <v>26</v>
      </c>
      <c r="C1240" t="s">
        <v>26</v>
      </c>
      <c r="D1240" t="s">
        <v>49</v>
      </c>
      <c r="E1240">
        <v>35</v>
      </c>
      <c r="F1240">
        <v>40</v>
      </c>
      <c r="G1240" t="s">
        <v>68</v>
      </c>
      <c r="H1240" t="s">
        <v>42</v>
      </c>
      <c r="I1240" s="24">
        <v>46115</v>
      </c>
      <c r="J1240" t="s">
        <v>118</v>
      </c>
      <c r="K1240" t="s">
        <v>117</v>
      </c>
      <c r="L1240" t="s">
        <v>118</v>
      </c>
      <c r="M1240">
        <v>8</v>
      </c>
      <c r="N1240">
        <v>420</v>
      </c>
      <c r="O1240">
        <v>5.7142857142857144</v>
      </c>
      <c r="P1240">
        <v>1</v>
      </c>
    </row>
    <row r="1241" spans="1:16" x14ac:dyDescent="0.45">
      <c r="A1241" t="s">
        <v>53</v>
      </c>
      <c r="B1241" t="s">
        <v>26</v>
      </c>
      <c r="C1241" t="s">
        <v>26</v>
      </c>
      <c r="D1241" t="s">
        <v>49</v>
      </c>
      <c r="E1241">
        <v>35</v>
      </c>
      <c r="F1241">
        <v>40</v>
      </c>
      <c r="G1241" t="s">
        <v>68</v>
      </c>
      <c r="H1241" t="s">
        <v>41</v>
      </c>
      <c r="I1241" s="24">
        <v>46115</v>
      </c>
      <c r="J1241" t="s">
        <v>118</v>
      </c>
      <c r="K1241" t="s">
        <v>117</v>
      </c>
      <c r="L1241" t="s">
        <v>118</v>
      </c>
      <c r="M1241">
        <v>0</v>
      </c>
      <c r="N1241">
        <v>0</v>
      </c>
      <c r="O1241">
        <v>5.7142857142857144</v>
      </c>
      <c r="P1241">
        <v>0</v>
      </c>
    </row>
    <row r="1242" spans="1:16" x14ac:dyDescent="0.45">
      <c r="A1242" t="s">
        <v>54</v>
      </c>
      <c r="B1242" t="s">
        <v>25</v>
      </c>
      <c r="C1242" t="s">
        <v>26</v>
      </c>
      <c r="D1242" t="s">
        <v>49</v>
      </c>
      <c r="E1242">
        <v>28</v>
      </c>
      <c r="F1242">
        <v>40</v>
      </c>
      <c r="G1242" t="s">
        <v>68</v>
      </c>
      <c r="H1242" t="s">
        <v>44</v>
      </c>
      <c r="I1242" s="24">
        <v>46115</v>
      </c>
      <c r="J1242" t="s">
        <v>118</v>
      </c>
      <c r="K1242" t="s">
        <v>117</v>
      </c>
      <c r="L1242" t="s">
        <v>118</v>
      </c>
      <c r="M1242">
        <v>8</v>
      </c>
      <c r="N1242">
        <v>336</v>
      </c>
      <c r="O1242">
        <v>5.7142857142857144</v>
      </c>
      <c r="P1242">
        <v>1</v>
      </c>
    </row>
    <row r="1243" spans="1:16" x14ac:dyDescent="0.45">
      <c r="A1243" t="s">
        <v>55</v>
      </c>
      <c r="B1243" t="s">
        <v>25</v>
      </c>
      <c r="C1243" t="s">
        <v>26</v>
      </c>
      <c r="D1243" t="s">
        <v>49</v>
      </c>
      <c r="E1243">
        <v>28</v>
      </c>
      <c r="F1243">
        <v>40</v>
      </c>
      <c r="G1243" t="s">
        <v>68</v>
      </c>
      <c r="H1243" t="s">
        <v>44</v>
      </c>
      <c r="I1243" s="24">
        <v>46115</v>
      </c>
      <c r="J1243" t="s">
        <v>118</v>
      </c>
      <c r="K1243" t="s">
        <v>117</v>
      </c>
      <c r="L1243" t="s">
        <v>118</v>
      </c>
      <c r="M1243">
        <v>8</v>
      </c>
      <c r="N1243">
        <v>336</v>
      </c>
      <c r="O1243">
        <v>5.7142857142857144</v>
      </c>
      <c r="P1243">
        <v>1</v>
      </c>
    </row>
    <row r="1244" spans="1:16" x14ac:dyDescent="0.45">
      <c r="A1244" t="s">
        <v>56</v>
      </c>
      <c r="B1244" t="s">
        <v>29</v>
      </c>
      <c r="C1244" t="s">
        <v>29</v>
      </c>
      <c r="D1244" t="s">
        <v>49</v>
      </c>
      <c r="E1244">
        <v>20</v>
      </c>
      <c r="F1244">
        <v>40</v>
      </c>
      <c r="G1244" t="s">
        <v>68</v>
      </c>
      <c r="H1244" t="s">
        <v>41</v>
      </c>
      <c r="I1244" s="24">
        <v>46115</v>
      </c>
      <c r="J1244" t="s">
        <v>118</v>
      </c>
      <c r="K1244" t="s">
        <v>117</v>
      </c>
      <c r="L1244" t="s">
        <v>118</v>
      </c>
      <c r="M1244">
        <v>0</v>
      </c>
      <c r="N1244">
        <v>0</v>
      </c>
      <c r="O1244">
        <v>5.7142857142857144</v>
      </c>
      <c r="P1244">
        <v>0</v>
      </c>
    </row>
    <row r="1245" spans="1:16" x14ac:dyDescent="0.45">
      <c r="A1245" t="s">
        <v>57</v>
      </c>
      <c r="B1245" t="s">
        <v>29</v>
      </c>
      <c r="C1245" t="s">
        <v>29</v>
      </c>
      <c r="D1245" t="s">
        <v>49</v>
      </c>
      <c r="E1245">
        <v>20</v>
      </c>
      <c r="F1245">
        <v>40</v>
      </c>
      <c r="G1245" t="s">
        <v>68</v>
      </c>
      <c r="H1245" t="s">
        <v>44</v>
      </c>
      <c r="I1245" s="24">
        <v>46115</v>
      </c>
      <c r="J1245" t="s">
        <v>118</v>
      </c>
      <c r="K1245" t="s">
        <v>117</v>
      </c>
      <c r="L1245" t="s">
        <v>118</v>
      </c>
      <c r="M1245">
        <v>8</v>
      </c>
      <c r="N1245">
        <v>240</v>
      </c>
      <c r="O1245">
        <v>5.7142857142857144</v>
      </c>
      <c r="P1245">
        <v>1</v>
      </c>
    </row>
    <row r="1246" spans="1:16" x14ac:dyDescent="0.45">
      <c r="A1246" t="s">
        <v>58</v>
      </c>
      <c r="B1246" t="s">
        <v>29</v>
      </c>
      <c r="C1246" t="s">
        <v>29</v>
      </c>
      <c r="D1246" t="s">
        <v>49</v>
      </c>
      <c r="E1246">
        <v>20</v>
      </c>
      <c r="F1246">
        <v>40</v>
      </c>
      <c r="G1246" t="s">
        <v>68</v>
      </c>
      <c r="H1246" t="s">
        <v>45</v>
      </c>
      <c r="I1246" s="24">
        <v>46115</v>
      </c>
      <c r="J1246" t="s">
        <v>118</v>
      </c>
      <c r="K1246" t="s">
        <v>117</v>
      </c>
      <c r="L1246" t="s">
        <v>118</v>
      </c>
      <c r="M1246">
        <v>8</v>
      </c>
      <c r="N1246">
        <v>240</v>
      </c>
      <c r="O1246">
        <v>5.7142857142857144</v>
      </c>
      <c r="P1246">
        <v>1</v>
      </c>
    </row>
    <row r="1247" spans="1:16" x14ac:dyDescent="0.45">
      <c r="A1247" t="s">
        <v>59</v>
      </c>
      <c r="B1247" t="s">
        <v>29</v>
      </c>
      <c r="C1247" t="s">
        <v>29</v>
      </c>
      <c r="D1247" t="s">
        <v>60</v>
      </c>
      <c r="E1247">
        <v>15</v>
      </c>
      <c r="F1247">
        <v>20</v>
      </c>
      <c r="G1247" t="s">
        <v>68</v>
      </c>
      <c r="H1247" t="s">
        <v>46</v>
      </c>
      <c r="I1247" s="24">
        <v>46115</v>
      </c>
      <c r="J1247" t="s">
        <v>118</v>
      </c>
      <c r="K1247" t="s">
        <v>117</v>
      </c>
      <c r="L1247" t="s">
        <v>118</v>
      </c>
      <c r="M1247">
        <v>5</v>
      </c>
      <c r="N1247">
        <v>112.5</v>
      </c>
      <c r="O1247">
        <v>2.8571428571428572</v>
      </c>
      <c r="P1247">
        <v>1</v>
      </c>
    </row>
    <row r="1248" spans="1:16" x14ac:dyDescent="0.45">
      <c r="A1248" t="s">
        <v>61</v>
      </c>
      <c r="B1248" t="s">
        <v>29</v>
      </c>
      <c r="C1248" t="s">
        <v>29</v>
      </c>
      <c r="D1248" t="s">
        <v>60</v>
      </c>
      <c r="E1248">
        <v>15</v>
      </c>
      <c r="F1248">
        <v>20</v>
      </c>
      <c r="G1248" t="s">
        <v>68</v>
      </c>
      <c r="H1248" t="s">
        <v>46</v>
      </c>
      <c r="I1248" s="24">
        <v>46115</v>
      </c>
      <c r="J1248" t="s">
        <v>118</v>
      </c>
      <c r="K1248" t="s">
        <v>117</v>
      </c>
      <c r="L1248" t="s">
        <v>118</v>
      </c>
      <c r="M1248">
        <v>5</v>
      </c>
      <c r="N1248">
        <v>112.5</v>
      </c>
      <c r="O1248">
        <v>2.8571428571428572</v>
      </c>
      <c r="P1248">
        <v>1</v>
      </c>
    </row>
    <row r="1249" spans="1:16" x14ac:dyDescent="0.45">
      <c r="A1249" t="s">
        <v>62</v>
      </c>
      <c r="B1249" t="s">
        <v>29</v>
      </c>
      <c r="C1249" t="s">
        <v>29</v>
      </c>
      <c r="D1249" t="s">
        <v>60</v>
      </c>
      <c r="E1249">
        <v>15</v>
      </c>
      <c r="F1249">
        <v>20</v>
      </c>
      <c r="G1249" t="s">
        <v>68</v>
      </c>
      <c r="H1249" t="s">
        <v>41</v>
      </c>
      <c r="I1249" s="24">
        <v>46115</v>
      </c>
      <c r="J1249" t="s">
        <v>118</v>
      </c>
      <c r="K1249" t="s">
        <v>117</v>
      </c>
      <c r="L1249" t="s">
        <v>118</v>
      </c>
      <c r="M1249">
        <v>0</v>
      </c>
      <c r="N1249">
        <v>0</v>
      </c>
      <c r="O1249">
        <v>2.8571428571428572</v>
      </c>
      <c r="P1249">
        <v>0</v>
      </c>
    </row>
    <row r="1250" spans="1:16" x14ac:dyDescent="0.45">
      <c r="A1250" t="s">
        <v>48</v>
      </c>
      <c r="B1250" t="s">
        <v>30</v>
      </c>
      <c r="C1250" t="s">
        <v>28</v>
      </c>
      <c r="D1250" t="s">
        <v>49</v>
      </c>
      <c r="E1250">
        <v>30</v>
      </c>
      <c r="F1250">
        <v>40</v>
      </c>
      <c r="G1250" t="s">
        <v>69</v>
      </c>
      <c r="H1250" t="s">
        <v>41</v>
      </c>
      <c r="I1250" s="24">
        <v>46116</v>
      </c>
      <c r="J1250" t="s">
        <v>118</v>
      </c>
      <c r="K1250" t="s">
        <v>117</v>
      </c>
      <c r="L1250" t="s">
        <v>118</v>
      </c>
      <c r="M1250">
        <v>0</v>
      </c>
      <c r="N1250">
        <v>0</v>
      </c>
      <c r="O1250">
        <v>5.7142857142857144</v>
      </c>
      <c r="P1250">
        <v>0</v>
      </c>
    </row>
    <row r="1251" spans="1:16" x14ac:dyDescent="0.45">
      <c r="A1251" t="s">
        <v>50</v>
      </c>
      <c r="B1251" t="s">
        <v>27</v>
      </c>
      <c r="C1251" t="s">
        <v>28</v>
      </c>
      <c r="D1251" t="s">
        <v>49</v>
      </c>
      <c r="E1251">
        <v>25</v>
      </c>
      <c r="F1251">
        <v>40</v>
      </c>
      <c r="G1251" t="s">
        <v>69</v>
      </c>
      <c r="H1251" t="s">
        <v>40</v>
      </c>
      <c r="I1251" s="24">
        <v>46116</v>
      </c>
      <c r="J1251" t="s">
        <v>118</v>
      </c>
      <c r="K1251" t="s">
        <v>117</v>
      </c>
      <c r="L1251" t="s">
        <v>118</v>
      </c>
      <c r="M1251">
        <v>5</v>
      </c>
      <c r="N1251">
        <v>187.5</v>
      </c>
      <c r="O1251">
        <v>5.7142857142857144</v>
      </c>
      <c r="P1251">
        <v>1</v>
      </c>
    </row>
    <row r="1252" spans="1:16" x14ac:dyDescent="0.45">
      <c r="A1252" t="s">
        <v>51</v>
      </c>
      <c r="B1252" t="s">
        <v>27</v>
      </c>
      <c r="C1252" t="s">
        <v>28</v>
      </c>
      <c r="D1252" t="s">
        <v>49</v>
      </c>
      <c r="E1252">
        <v>25</v>
      </c>
      <c r="F1252">
        <v>40</v>
      </c>
      <c r="G1252" t="s">
        <v>69</v>
      </c>
      <c r="H1252" t="s">
        <v>35</v>
      </c>
      <c r="I1252" s="24">
        <v>46116</v>
      </c>
      <c r="J1252" t="s">
        <v>118</v>
      </c>
      <c r="K1252" t="s">
        <v>117</v>
      </c>
      <c r="L1252" t="s">
        <v>118</v>
      </c>
      <c r="M1252">
        <v>7</v>
      </c>
      <c r="N1252">
        <v>262.5</v>
      </c>
      <c r="O1252">
        <v>5.7142857142857144</v>
      </c>
      <c r="P1252">
        <v>1</v>
      </c>
    </row>
    <row r="1253" spans="1:16" x14ac:dyDescent="0.45">
      <c r="A1253" t="s">
        <v>52</v>
      </c>
      <c r="B1253" t="s">
        <v>26</v>
      </c>
      <c r="C1253" t="s">
        <v>26</v>
      </c>
      <c r="D1253" t="s">
        <v>49</v>
      </c>
      <c r="E1253">
        <v>35</v>
      </c>
      <c r="F1253">
        <v>40</v>
      </c>
      <c r="G1253" t="s">
        <v>69</v>
      </c>
      <c r="H1253" t="s">
        <v>41</v>
      </c>
      <c r="I1253" s="24">
        <v>46116</v>
      </c>
      <c r="J1253" t="s">
        <v>118</v>
      </c>
      <c r="K1253" t="s">
        <v>117</v>
      </c>
      <c r="L1253" t="s">
        <v>118</v>
      </c>
      <c r="M1253">
        <v>0</v>
      </c>
      <c r="N1253">
        <v>0</v>
      </c>
      <c r="O1253">
        <v>5.7142857142857144</v>
      </c>
      <c r="P1253">
        <v>0</v>
      </c>
    </row>
    <row r="1254" spans="1:16" x14ac:dyDescent="0.45">
      <c r="A1254" t="s">
        <v>53</v>
      </c>
      <c r="B1254" t="s">
        <v>26</v>
      </c>
      <c r="C1254" t="s">
        <v>26</v>
      </c>
      <c r="D1254" t="s">
        <v>49</v>
      </c>
      <c r="E1254">
        <v>35</v>
      </c>
      <c r="F1254">
        <v>40</v>
      </c>
      <c r="G1254" t="s">
        <v>69</v>
      </c>
      <c r="H1254" t="s">
        <v>42</v>
      </c>
      <c r="I1254" s="24">
        <v>46116</v>
      </c>
      <c r="J1254" t="s">
        <v>118</v>
      </c>
      <c r="K1254" t="s">
        <v>117</v>
      </c>
      <c r="L1254" t="s">
        <v>118</v>
      </c>
      <c r="M1254">
        <v>8</v>
      </c>
      <c r="N1254">
        <v>420</v>
      </c>
      <c r="O1254">
        <v>5.7142857142857144</v>
      </c>
      <c r="P1254">
        <v>1</v>
      </c>
    </row>
    <row r="1255" spans="1:16" x14ac:dyDescent="0.45">
      <c r="A1255" t="s">
        <v>54</v>
      </c>
      <c r="B1255" t="s">
        <v>25</v>
      </c>
      <c r="C1255" t="s">
        <v>26</v>
      </c>
      <c r="D1255" t="s">
        <v>49</v>
      </c>
      <c r="E1255">
        <v>28</v>
      </c>
      <c r="F1255">
        <v>40</v>
      </c>
      <c r="G1255" t="s">
        <v>69</v>
      </c>
      <c r="H1255" t="s">
        <v>44</v>
      </c>
      <c r="I1255" s="24">
        <v>46116</v>
      </c>
      <c r="J1255" t="s">
        <v>118</v>
      </c>
      <c r="K1255" t="s">
        <v>117</v>
      </c>
      <c r="L1255" t="s">
        <v>118</v>
      </c>
      <c r="M1255">
        <v>8</v>
      </c>
      <c r="N1255">
        <v>336</v>
      </c>
      <c r="O1255">
        <v>5.7142857142857144</v>
      </c>
      <c r="P1255">
        <v>1</v>
      </c>
    </row>
    <row r="1256" spans="1:16" x14ac:dyDescent="0.45">
      <c r="A1256" t="s">
        <v>55</v>
      </c>
      <c r="B1256" t="s">
        <v>25</v>
      </c>
      <c r="C1256" t="s">
        <v>26</v>
      </c>
      <c r="D1256" t="s">
        <v>49</v>
      </c>
      <c r="E1256">
        <v>28</v>
      </c>
      <c r="F1256">
        <v>40</v>
      </c>
      <c r="G1256" t="s">
        <v>69</v>
      </c>
      <c r="H1256" t="s">
        <v>41</v>
      </c>
      <c r="I1256" s="24">
        <v>46116</v>
      </c>
      <c r="J1256" t="s">
        <v>118</v>
      </c>
      <c r="K1256" t="s">
        <v>117</v>
      </c>
      <c r="L1256" t="s">
        <v>118</v>
      </c>
      <c r="M1256">
        <v>0</v>
      </c>
      <c r="N1256">
        <v>0</v>
      </c>
      <c r="O1256">
        <v>5.7142857142857144</v>
      </c>
      <c r="P1256">
        <v>0</v>
      </c>
    </row>
    <row r="1257" spans="1:16" x14ac:dyDescent="0.45">
      <c r="A1257" t="s">
        <v>56</v>
      </c>
      <c r="B1257" t="s">
        <v>29</v>
      </c>
      <c r="C1257" t="s">
        <v>29</v>
      </c>
      <c r="D1257" t="s">
        <v>49</v>
      </c>
      <c r="E1257">
        <v>20</v>
      </c>
      <c r="F1257">
        <v>40</v>
      </c>
      <c r="G1257" t="s">
        <v>69</v>
      </c>
      <c r="H1257" t="s">
        <v>45</v>
      </c>
      <c r="I1257" s="24">
        <v>46116</v>
      </c>
      <c r="J1257" t="s">
        <v>118</v>
      </c>
      <c r="K1257" t="s">
        <v>117</v>
      </c>
      <c r="L1257" t="s">
        <v>118</v>
      </c>
      <c r="M1257">
        <v>8</v>
      </c>
      <c r="N1257">
        <v>240</v>
      </c>
      <c r="O1257">
        <v>5.7142857142857144</v>
      </c>
      <c r="P1257">
        <v>1</v>
      </c>
    </row>
    <row r="1258" spans="1:16" x14ac:dyDescent="0.45">
      <c r="A1258" t="s">
        <v>57</v>
      </c>
      <c r="B1258" t="s">
        <v>29</v>
      </c>
      <c r="C1258" t="s">
        <v>29</v>
      </c>
      <c r="D1258" t="s">
        <v>49</v>
      </c>
      <c r="E1258">
        <v>20</v>
      </c>
      <c r="F1258">
        <v>40</v>
      </c>
      <c r="G1258" t="s">
        <v>69</v>
      </c>
      <c r="H1258" t="s">
        <v>41</v>
      </c>
      <c r="I1258" s="24">
        <v>46116</v>
      </c>
      <c r="J1258" t="s">
        <v>118</v>
      </c>
      <c r="K1258" t="s">
        <v>117</v>
      </c>
      <c r="L1258" t="s">
        <v>118</v>
      </c>
      <c r="M1258">
        <v>0</v>
      </c>
      <c r="N1258">
        <v>0</v>
      </c>
      <c r="O1258">
        <v>5.7142857142857144</v>
      </c>
      <c r="P1258">
        <v>0</v>
      </c>
    </row>
    <row r="1259" spans="1:16" x14ac:dyDescent="0.45">
      <c r="A1259" t="s">
        <v>58</v>
      </c>
      <c r="B1259" t="s">
        <v>29</v>
      </c>
      <c r="C1259" t="s">
        <v>29</v>
      </c>
      <c r="D1259" t="s">
        <v>49</v>
      </c>
      <c r="E1259">
        <v>20</v>
      </c>
      <c r="F1259">
        <v>40</v>
      </c>
      <c r="G1259" t="s">
        <v>69</v>
      </c>
      <c r="H1259" t="s">
        <v>44</v>
      </c>
      <c r="I1259" s="24">
        <v>46116</v>
      </c>
      <c r="J1259" t="s">
        <v>118</v>
      </c>
      <c r="K1259" t="s">
        <v>117</v>
      </c>
      <c r="L1259" t="s">
        <v>118</v>
      </c>
      <c r="M1259">
        <v>8</v>
      </c>
      <c r="N1259">
        <v>240</v>
      </c>
      <c r="O1259">
        <v>5.7142857142857144</v>
      </c>
      <c r="P1259">
        <v>1</v>
      </c>
    </row>
    <row r="1260" spans="1:16" x14ac:dyDescent="0.45">
      <c r="A1260" t="s">
        <v>59</v>
      </c>
      <c r="B1260" t="s">
        <v>29</v>
      </c>
      <c r="C1260" t="s">
        <v>29</v>
      </c>
      <c r="D1260" t="s">
        <v>60</v>
      </c>
      <c r="E1260">
        <v>15</v>
      </c>
      <c r="F1260">
        <v>20</v>
      </c>
      <c r="G1260" t="s">
        <v>69</v>
      </c>
      <c r="H1260" t="s">
        <v>41</v>
      </c>
      <c r="I1260" s="24">
        <v>46116</v>
      </c>
      <c r="J1260" t="s">
        <v>118</v>
      </c>
      <c r="K1260" t="s">
        <v>117</v>
      </c>
      <c r="L1260" t="s">
        <v>118</v>
      </c>
      <c r="M1260">
        <v>0</v>
      </c>
      <c r="N1260">
        <v>0</v>
      </c>
      <c r="O1260">
        <v>2.8571428571428572</v>
      </c>
      <c r="P1260">
        <v>0</v>
      </c>
    </row>
    <row r="1261" spans="1:16" x14ac:dyDescent="0.45">
      <c r="A1261" t="s">
        <v>61</v>
      </c>
      <c r="B1261" t="s">
        <v>29</v>
      </c>
      <c r="C1261" t="s">
        <v>29</v>
      </c>
      <c r="D1261" t="s">
        <v>60</v>
      </c>
      <c r="E1261">
        <v>15</v>
      </c>
      <c r="F1261">
        <v>20</v>
      </c>
      <c r="G1261" t="s">
        <v>69</v>
      </c>
      <c r="H1261" t="s">
        <v>41</v>
      </c>
      <c r="I1261" s="24">
        <v>46116</v>
      </c>
      <c r="J1261" t="s">
        <v>118</v>
      </c>
      <c r="K1261" t="s">
        <v>117</v>
      </c>
      <c r="L1261" t="s">
        <v>118</v>
      </c>
      <c r="M1261">
        <v>0</v>
      </c>
      <c r="N1261">
        <v>0</v>
      </c>
      <c r="O1261">
        <v>2.8571428571428572</v>
      </c>
      <c r="P1261">
        <v>0</v>
      </c>
    </row>
    <row r="1262" spans="1:16" x14ac:dyDescent="0.45">
      <c r="A1262" t="s">
        <v>62</v>
      </c>
      <c r="B1262" t="s">
        <v>29</v>
      </c>
      <c r="C1262" t="s">
        <v>29</v>
      </c>
      <c r="D1262" t="s">
        <v>60</v>
      </c>
      <c r="E1262">
        <v>15</v>
      </c>
      <c r="F1262">
        <v>20</v>
      </c>
      <c r="G1262" t="s">
        <v>69</v>
      </c>
      <c r="H1262" t="s">
        <v>40</v>
      </c>
      <c r="I1262" s="24">
        <v>46116</v>
      </c>
      <c r="J1262" t="s">
        <v>118</v>
      </c>
      <c r="K1262" t="s">
        <v>117</v>
      </c>
      <c r="L1262" t="s">
        <v>118</v>
      </c>
      <c r="M1262">
        <v>5</v>
      </c>
      <c r="N1262">
        <v>112.5</v>
      </c>
      <c r="O1262">
        <v>2.8571428571428572</v>
      </c>
      <c r="P1262">
        <v>1</v>
      </c>
    </row>
    <row r="1263" spans="1:16" x14ac:dyDescent="0.45">
      <c r="A1263" t="s">
        <v>48</v>
      </c>
      <c r="B1263" t="s">
        <v>30</v>
      </c>
      <c r="C1263" t="s">
        <v>28</v>
      </c>
      <c r="D1263" t="s">
        <v>49</v>
      </c>
      <c r="E1263">
        <v>30</v>
      </c>
      <c r="F1263">
        <v>40</v>
      </c>
      <c r="G1263" t="s">
        <v>70</v>
      </c>
      <c r="H1263" t="s">
        <v>41</v>
      </c>
      <c r="I1263" s="24">
        <v>46117</v>
      </c>
      <c r="J1263" t="s">
        <v>117</v>
      </c>
      <c r="K1263" t="s">
        <v>117</v>
      </c>
      <c r="L1263" t="s">
        <v>117</v>
      </c>
      <c r="M1263">
        <v>0</v>
      </c>
      <c r="N1263">
        <v>0</v>
      </c>
      <c r="O1263">
        <v>5.7142857142857144</v>
      </c>
      <c r="P1263">
        <v>0</v>
      </c>
    </row>
    <row r="1264" spans="1:16" x14ac:dyDescent="0.45">
      <c r="A1264" t="s">
        <v>50</v>
      </c>
      <c r="B1264" t="s">
        <v>27</v>
      </c>
      <c r="C1264" t="s">
        <v>28</v>
      </c>
      <c r="D1264" t="s">
        <v>49</v>
      </c>
      <c r="E1264">
        <v>25</v>
      </c>
      <c r="F1264">
        <v>40</v>
      </c>
      <c r="G1264" t="s">
        <v>70</v>
      </c>
      <c r="H1264" t="s">
        <v>37</v>
      </c>
      <c r="I1264" s="24">
        <v>46117</v>
      </c>
      <c r="J1264" t="s">
        <v>117</v>
      </c>
      <c r="K1264" t="s">
        <v>117</v>
      </c>
      <c r="L1264" t="s">
        <v>117</v>
      </c>
      <c r="M1264">
        <v>7</v>
      </c>
      <c r="N1264">
        <v>175</v>
      </c>
      <c r="O1264">
        <v>5.7142857142857144</v>
      </c>
      <c r="P1264">
        <v>0</v>
      </c>
    </row>
    <row r="1265" spans="1:16" x14ac:dyDescent="0.45">
      <c r="A1265" t="s">
        <v>51</v>
      </c>
      <c r="B1265" t="s">
        <v>27</v>
      </c>
      <c r="C1265" t="s">
        <v>28</v>
      </c>
      <c r="D1265" t="s">
        <v>49</v>
      </c>
      <c r="E1265">
        <v>25</v>
      </c>
      <c r="F1265">
        <v>40</v>
      </c>
      <c r="G1265" t="s">
        <v>70</v>
      </c>
      <c r="H1265" t="s">
        <v>35</v>
      </c>
      <c r="I1265" s="24">
        <v>46117</v>
      </c>
      <c r="J1265" t="s">
        <v>117</v>
      </c>
      <c r="K1265" t="s">
        <v>117</v>
      </c>
      <c r="L1265" t="s">
        <v>117</v>
      </c>
      <c r="M1265">
        <v>7</v>
      </c>
      <c r="N1265">
        <v>175</v>
      </c>
      <c r="O1265">
        <v>5.7142857142857144</v>
      </c>
      <c r="P1265">
        <v>0</v>
      </c>
    </row>
    <row r="1266" spans="1:16" x14ac:dyDescent="0.45">
      <c r="A1266" t="s">
        <v>52</v>
      </c>
      <c r="B1266" t="s">
        <v>26</v>
      </c>
      <c r="C1266" t="s">
        <v>26</v>
      </c>
      <c r="D1266" t="s">
        <v>49</v>
      </c>
      <c r="E1266">
        <v>35</v>
      </c>
      <c r="F1266">
        <v>40</v>
      </c>
      <c r="G1266" t="s">
        <v>70</v>
      </c>
      <c r="H1266" t="s">
        <v>41</v>
      </c>
      <c r="I1266" s="24">
        <v>46117</v>
      </c>
      <c r="J1266" t="s">
        <v>117</v>
      </c>
      <c r="K1266" t="s">
        <v>117</v>
      </c>
      <c r="L1266" t="s">
        <v>117</v>
      </c>
      <c r="M1266">
        <v>0</v>
      </c>
      <c r="N1266">
        <v>0</v>
      </c>
      <c r="O1266">
        <v>5.7142857142857144</v>
      </c>
      <c r="P1266">
        <v>0</v>
      </c>
    </row>
    <row r="1267" spans="1:16" x14ac:dyDescent="0.45">
      <c r="A1267" t="s">
        <v>53</v>
      </c>
      <c r="B1267" t="s">
        <v>26</v>
      </c>
      <c r="C1267" t="s">
        <v>26</v>
      </c>
      <c r="D1267" t="s">
        <v>49</v>
      </c>
      <c r="E1267">
        <v>35</v>
      </c>
      <c r="F1267">
        <v>40</v>
      </c>
      <c r="G1267" t="s">
        <v>70</v>
      </c>
      <c r="H1267" t="s">
        <v>42</v>
      </c>
      <c r="I1267" s="24">
        <v>46117</v>
      </c>
      <c r="J1267" t="s">
        <v>117</v>
      </c>
      <c r="K1267" t="s">
        <v>117</v>
      </c>
      <c r="L1267" t="s">
        <v>117</v>
      </c>
      <c r="M1267">
        <v>8</v>
      </c>
      <c r="N1267">
        <v>280</v>
      </c>
      <c r="O1267">
        <v>5.7142857142857144</v>
      </c>
      <c r="P1267">
        <v>0</v>
      </c>
    </row>
    <row r="1268" spans="1:16" x14ac:dyDescent="0.45">
      <c r="A1268" t="s">
        <v>54</v>
      </c>
      <c r="B1268" t="s">
        <v>25</v>
      </c>
      <c r="C1268" t="s">
        <v>26</v>
      </c>
      <c r="D1268" t="s">
        <v>49</v>
      </c>
      <c r="E1268">
        <v>28</v>
      </c>
      <c r="F1268">
        <v>40</v>
      </c>
      <c r="G1268" t="s">
        <v>70</v>
      </c>
      <c r="H1268" t="s">
        <v>44</v>
      </c>
      <c r="I1268" s="24">
        <v>46117</v>
      </c>
      <c r="J1268" t="s">
        <v>117</v>
      </c>
      <c r="K1268" t="s">
        <v>117</v>
      </c>
      <c r="L1268" t="s">
        <v>117</v>
      </c>
      <c r="M1268">
        <v>8</v>
      </c>
      <c r="N1268">
        <v>224</v>
      </c>
      <c r="O1268">
        <v>5.7142857142857144</v>
      </c>
      <c r="P1268">
        <v>0</v>
      </c>
    </row>
    <row r="1269" spans="1:16" x14ac:dyDescent="0.45">
      <c r="A1269" t="s">
        <v>55</v>
      </c>
      <c r="B1269" t="s">
        <v>25</v>
      </c>
      <c r="C1269" t="s">
        <v>26</v>
      </c>
      <c r="D1269" t="s">
        <v>49</v>
      </c>
      <c r="E1269">
        <v>28</v>
      </c>
      <c r="F1269">
        <v>40</v>
      </c>
      <c r="G1269" t="s">
        <v>70</v>
      </c>
      <c r="H1269" t="s">
        <v>41</v>
      </c>
      <c r="I1269" s="24">
        <v>46117</v>
      </c>
      <c r="J1269" t="s">
        <v>117</v>
      </c>
      <c r="K1269" t="s">
        <v>117</v>
      </c>
      <c r="L1269" t="s">
        <v>117</v>
      </c>
      <c r="M1269">
        <v>0</v>
      </c>
      <c r="N1269">
        <v>0</v>
      </c>
      <c r="O1269">
        <v>5.7142857142857144</v>
      </c>
      <c r="P1269">
        <v>0</v>
      </c>
    </row>
    <row r="1270" spans="1:16" x14ac:dyDescent="0.45">
      <c r="A1270" t="s">
        <v>56</v>
      </c>
      <c r="B1270" t="s">
        <v>29</v>
      </c>
      <c r="C1270" t="s">
        <v>29</v>
      </c>
      <c r="D1270" t="s">
        <v>49</v>
      </c>
      <c r="E1270">
        <v>20</v>
      </c>
      <c r="F1270">
        <v>40</v>
      </c>
      <c r="G1270" t="s">
        <v>70</v>
      </c>
      <c r="H1270" t="s">
        <v>45</v>
      </c>
      <c r="I1270" s="24">
        <v>46117</v>
      </c>
      <c r="J1270" t="s">
        <v>117</v>
      </c>
      <c r="K1270" t="s">
        <v>117</v>
      </c>
      <c r="L1270" t="s">
        <v>117</v>
      </c>
      <c r="M1270">
        <v>8</v>
      </c>
      <c r="N1270">
        <v>160</v>
      </c>
      <c r="O1270">
        <v>5.7142857142857144</v>
      </c>
      <c r="P1270">
        <v>0</v>
      </c>
    </row>
    <row r="1271" spans="1:16" x14ac:dyDescent="0.45">
      <c r="A1271" t="s">
        <v>57</v>
      </c>
      <c r="B1271" t="s">
        <v>29</v>
      </c>
      <c r="C1271" t="s">
        <v>29</v>
      </c>
      <c r="D1271" t="s">
        <v>49</v>
      </c>
      <c r="E1271">
        <v>20</v>
      </c>
      <c r="F1271">
        <v>40</v>
      </c>
      <c r="G1271" t="s">
        <v>70</v>
      </c>
      <c r="H1271" t="s">
        <v>41</v>
      </c>
      <c r="I1271" s="24">
        <v>46117</v>
      </c>
      <c r="J1271" t="s">
        <v>117</v>
      </c>
      <c r="K1271" t="s">
        <v>117</v>
      </c>
      <c r="L1271" t="s">
        <v>117</v>
      </c>
      <c r="M1271">
        <v>0</v>
      </c>
      <c r="N1271">
        <v>0</v>
      </c>
      <c r="O1271">
        <v>5.7142857142857144</v>
      </c>
      <c r="P1271">
        <v>0</v>
      </c>
    </row>
    <row r="1272" spans="1:16" x14ac:dyDescent="0.45">
      <c r="A1272" t="s">
        <v>58</v>
      </c>
      <c r="B1272" t="s">
        <v>29</v>
      </c>
      <c r="C1272" t="s">
        <v>29</v>
      </c>
      <c r="D1272" t="s">
        <v>49</v>
      </c>
      <c r="E1272">
        <v>20</v>
      </c>
      <c r="F1272">
        <v>40</v>
      </c>
      <c r="G1272" t="s">
        <v>70</v>
      </c>
      <c r="H1272" t="s">
        <v>44</v>
      </c>
      <c r="I1272" s="24">
        <v>46117</v>
      </c>
      <c r="J1272" t="s">
        <v>117</v>
      </c>
      <c r="K1272" t="s">
        <v>117</v>
      </c>
      <c r="L1272" t="s">
        <v>117</v>
      </c>
      <c r="M1272">
        <v>8</v>
      </c>
      <c r="N1272">
        <v>160</v>
      </c>
      <c r="O1272">
        <v>5.7142857142857144</v>
      </c>
      <c r="P1272">
        <v>0</v>
      </c>
    </row>
    <row r="1273" spans="1:16" x14ac:dyDescent="0.45">
      <c r="A1273" t="s">
        <v>59</v>
      </c>
      <c r="B1273" t="s">
        <v>29</v>
      </c>
      <c r="C1273" t="s">
        <v>29</v>
      </c>
      <c r="D1273" t="s">
        <v>60</v>
      </c>
      <c r="E1273">
        <v>15</v>
      </c>
      <c r="F1273">
        <v>20</v>
      </c>
      <c r="G1273" t="s">
        <v>70</v>
      </c>
      <c r="H1273" t="s">
        <v>41</v>
      </c>
      <c r="I1273" s="24">
        <v>46117</v>
      </c>
      <c r="J1273" t="s">
        <v>117</v>
      </c>
      <c r="K1273" t="s">
        <v>117</v>
      </c>
      <c r="L1273" t="s">
        <v>117</v>
      </c>
      <c r="M1273">
        <v>0</v>
      </c>
      <c r="N1273">
        <v>0</v>
      </c>
      <c r="O1273">
        <v>2.8571428571428572</v>
      </c>
      <c r="P1273">
        <v>0</v>
      </c>
    </row>
    <row r="1274" spans="1:16" x14ac:dyDescent="0.45">
      <c r="A1274" t="s">
        <v>61</v>
      </c>
      <c r="B1274" t="s">
        <v>29</v>
      </c>
      <c r="C1274" t="s">
        <v>29</v>
      </c>
      <c r="D1274" t="s">
        <v>60</v>
      </c>
      <c r="E1274">
        <v>15</v>
      </c>
      <c r="F1274">
        <v>20</v>
      </c>
      <c r="G1274" t="s">
        <v>70</v>
      </c>
      <c r="H1274" t="s">
        <v>41</v>
      </c>
      <c r="I1274" s="24">
        <v>46117</v>
      </c>
      <c r="J1274" t="s">
        <v>117</v>
      </c>
      <c r="K1274" t="s">
        <v>117</v>
      </c>
      <c r="L1274" t="s">
        <v>117</v>
      </c>
      <c r="M1274">
        <v>0</v>
      </c>
      <c r="N1274">
        <v>0</v>
      </c>
      <c r="O1274">
        <v>2.8571428571428572</v>
      </c>
      <c r="P1274">
        <v>0</v>
      </c>
    </row>
    <row r="1275" spans="1:16" x14ac:dyDescent="0.45">
      <c r="A1275" t="s">
        <v>62</v>
      </c>
      <c r="B1275" t="s">
        <v>29</v>
      </c>
      <c r="C1275" t="s">
        <v>29</v>
      </c>
      <c r="D1275" t="s">
        <v>60</v>
      </c>
      <c r="E1275">
        <v>15</v>
      </c>
      <c r="F1275">
        <v>20</v>
      </c>
      <c r="G1275" t="s">
        <v>70</v>
      </c>
      <c r="H1275" t="s">
        <v>46</v>
      </c>
      <c r="I1275" s="24">
        <v>46117</v>
      </c>
      <c r="J1275" t="s">
        <v>117</v>
      </c>
      <c r="K1275" t="s">
        <v>117</v>
      </c>
      <c r="L1275" t="s">
        <v>117</v>
      </c>
      <c r="M1275">
        <v>5</v>
      </c>
      <c r="N1275">
        <v>75</v>
      </c>
      <c r="O1275">
        <v>2.8571428571428572</v>
      </c>
      <c r="P1275">
        <v>0</v>
      </c>
    </row>
    <row r="1276" spans="1:16" x14ac:dyDescent="0.45">
      <c r="A1276" t="s">
        <v>48</v>
      </c>
      <c r="B1276" t="s">
        <v>30</v>
      </c>
      <c r="C1276" t="s">
        <v>28</v>
      </c>
      <c r="D1276" t="s">
        <v>49</v>
      </c>
      <c r="E1276">
        <v>30</v>
      </c>
      <c r="F1276">
        <v>40</v>
      </c>
      <c r="G1276" t="s">
        <v>64</v>
      </c>
      <c r="H1276" t="s">
        <v>35</v>
      </c>
      <c r="I1276" s="24">
        <v>46118</v>
      </c>
      <c r="J1276" t="s">
        <v>117</v>
      </c>
      <c r="K1276" t="s">
        <v>117</v>
      </c>
      <c r="L1276" t="s">
        <v>117</v>
      </c>
      <c r="M1276">
        <v>7</v>
      </c>
      <c r="N1276">
        <v>210</v>
      </c>
      <c r="O1276">
        <v>5.7142857142857144</v>
      </c>
      <c r="P1276">
        <v>0</v>
      </c>
    </row>
    <row r="1277" spans="1:16" x14ac:dyDescent="0.45">
      <c r="A1277" t="s">
        <v>48</v>
      </c>
      <c r="B1277" t="s">
        <v>30</v>
      </c>
      <c r="C1277" t="s">
        <v>28</v>
      </c>
      <c r="D1277" t="s">
        <v>49</v>
      </c>
      <c r="E1277">
        <v>30</v>
      </c>
      <c r="F1277">
        <v>40</v>
      </c>
      <c r="G1277" t="s">
        <v>65</v>
      </c>
      <c r="H1277" t="s">
        <v>35</v>
      </c>
      <c r="I1277" s="24">
        <v>46119</v>
      </c>
      <c r="J1277" t="s">
        <v>117</v>
      </c>
      <c r="K1277" t="s">
        <v>117</v>
      </c>
      <c r="L1277" t="s">
        <v>117</v>
      </c>
      <c r="M1277">
        <v>7</v>
      </c>
      <c r="N1277">
        <v>210</v>
      </c>
      <c r="O1277">
        <v>5.7142857142857144</v>
      </c>
      <c r="P1277">
        <v>0</v>
      </c>
    </row>
    <row r="1278" spans="1:16" x14ac:dyDescent="0.45">
      <c r="A1278" t="s">
        <v>48</v>
      </c>
      <c r="B1278" t="s">
        <v>30</v>
      </c>
      <c r="C1278" t="s">
        <v>28</v>
      </c>
      <c r="D1278" t="s">
        <v>49</v>
      </c>
      <c r="E1278">
        <v>30</v>
      </c>
      <c r="F1278">
        <v>40</v>
      </c>
      <c r="G1278" t="s">
        <v>66</v>
      </c>
      <c r="H1278" t="s">
        <v>40</v>
      </c>
      <c r="I1278" s="24">
        <v>46120</v>
      </c>
      <c r="J1278" t="s">
        <v>117</v>
      </c>
      <c r="K1278" t="s">
        <v>117</v>
      </c>
      <c r="L1278" t="s">
        <v>117</v>
      </c>
      <c r="M1278">
        <v>5</v>
      </c>
      <c r="N1278">
        <v>150</v>
      </c>
      <c r="O1278">
        <v>5.7142857142857144</v>
      </c>
      <c r="P1278">
        <v>0</v>
      </c>
    </row>
    <row r="1279" spans="1:16" x14ac:dyDescent="0.45">
      <c r="A1279" t="s">
        <v>48</v>
      </c>
      <c r="B1279" t="s">
        <v>30</v>
      </c>
      <c r="C1279" t="s">
        <v>28</v>
      </c>
      <c r="D1279" t="s">
        <v>49</v>
      </c>
      <c r="E1279">
        <v>30</v>
      </c>
      <c r="F1279">
        <v>40</v>
      </c>
      <c r="G1279" t="s">
        <v>67</v>
      </c>
      <c r="H1279" t="s">
        <v>41</v>
      </c>
      <c r="I1279" s="24">
        <v>46121</v>
      </c>
      <c r="J1279" t="s">
        <v>117</v>
      </c>
      <c r="K1279" t="s">
        <v>117</v>
      </c>
      <c r="L1279" t="s">
        <v>117</v>
      </c>
      <c r="M1279">
        <v>0</v>
      </c>
      <c r="N1279">
        <v>0</v>
      </c>
      <c r="O1279">
        <v>5.7142857142857144</v>
      </c>
      <c r="P1279">
        <v>0</v>
      </c>
    </row>
    <row r="1280" spans="1:16" x14ac:dyDescent="0.45">
      <c r="A1280" t="s">
        <v>48</v>
      </c>
      <c r="B1280" t="s">
        <v>30</v>
      </c>
      <c r="C1280" t="s">
        <v>28</v>
      </c>
      <c r="D1280" t="s">
        <v>49</v>
      </c>
      <c r="E1280">
        <v>30</v>
      </c>
      <c r="F1280">
        <v>40</v>
      </c>
      <c r="G1280" t="s">
        <v>68</v>
      </c>
      <c r="H1280" t="s">
        <v>35</v>
      </c>
      <c r="I1280" s="24">
        <v>46122</v>
      </c>
      <c r="J1280" t="s">
        <v>117</v>
      </c>
      <c r="K1280" t="s">
        <v>117</v>
      </c>
      <c r="L1280" t="s">
        <v>117</v>
      </c>
      <c r="M1280">
        <v>7</v>
      </c>
      <c r="N1280">
        <v>210</v>
      </c>
      <c r="O1280">
        <v>5.7142857142857144</v>
      </c>
      <c r="P1280">
        <v>0</v>
      </c>
    </row>
    <row r="1281" spans="1:16" x14ac:dyDescent="0.45">
      <c r="A1281" t="s">
        <v>48</v>
      </c>
      <c r="B1281" t="s">
        <v>30</v>
      </c>
      <c r="C1281" t="s">
        <v>28</v>
      </c>
      <c r="D1281" t="s">
        <v>49</v>
      </c>
      <c r="E1281">
        <v>30</v>
      </c>
      <c r="F1281">
        <v>40</v>
      </c>
      <c r="G1281" t="s">
        <v>69</v>
      </c>
      <c r="H1281" t="s">
        <v>41</v>
      </c>
      <c r="I1281" s="24">
        <v>46123</v>
      </c>
      <c r="J1281" t="s">
        <v>118</v>
      </c>
      <c r="K1281" t="s">
        <v>117</v>
      </c>
      <c r="L1281" t="s">
        <v>118</v>
      </c>
      <c r="M1281">
        <v>0</v>
      </c>
      <c r="N1281">
        <v>0</v>
      </c>
      <c r="O1281">
        <v>5.7142857142857144</v>
      </c>
      <c r="P1281">
        <v>0</v>
      </c>
    </row>
    <row r="1282" spans="1:16" x14ac:dyDescent="0.45">
      <c r="A1282" t="s">
        <v>48</v>
      </c>
      <c r="B1282" t="s">
        <v>30</v>
      </c>
      <c r="C1282" t="s">
        <v>28</v>
      </c>
      <c r="D1282" t="s">
        <v>49</v>
      </c>
      <c r="E1282">
        <v>30</v>
      </c>
      <c r="F1282">
        <v>40</v>
      </c>
      <c r="G1282" t="s">
        <v>70</v>
      </c>
      <c r="H1282" t="s">
        <v>41</v>
      </c>
      <c r="I1282" s="24">
        <v>46124</v>
      </c>
      <c r="J1282" t="s">
        <v>118</v>
      </c>
      <c r="K1282" t="s">
        <v>117</v>
      </c>
      <c r="L1282" t="s">
        <v>118</v>
      </c>
      <c r="M1282">
        <v>0</v>
      </c>
      <c r="N1282">
        <v>0</v>
      </c>
      <c r="O1282">
        <v>5.7142857142857144</v>
      </c>
      <c r="P1282">
        <v>0</v>
      </c>
    </row>
    <row r="1283" spans="1:16" x14ac:dyDescent="0.45">
      <c r="A1283" t="s">
        <v>50</v>
      </c>
      <c r="B1283" t="s">
        <v>27</v>
      </c>
      <c r="C1283" t="s">
        <v>28</v>
      </c>
      <c r="D1283" t="s">
        <v>49</v>
      </c>
      <c r="E1283">
        <v>25</v>
      </c>
      <c r="F1283">
        <v>40</v>
      </c>
      <c r="G1283" t="s">
        <v>64</v>
      </c>
      <c r="H1283" t="s">
        <v>37</v>
      </c>
      <c r="I1283" s="24">
        <v>46118</v>
      </c>
      <c r="J1283" t="s">
        <v>117</v>
      </c>
      <c r="K1283" t="s">
        <v>117</v>
      </c>
      <c r="L1283" t="s">
        <v>117</v>
      </c>
      <c r="M1283">
        <v>7</v>
      </c>
      <c r="N1283">
        <v>175</v>
      </c>
      <c r="O1283">
        <v>5.7142857142857144</v>
      </c>
      <c r="P1283">
        <v>0</v>
      </c>
    </row>
    <row r="1284" spans="1:16" x14ac:dyDescent="0.45">
      <c r="A1284" t="s">
        <v>50</v>
      </c>
      <c r="B1284" t="s">
        <v>27</v>
      </c>
      <c r="C1284" t="s">
        <v>28</v>
      </c>
      <c r="D1284" t="s">
        <v>49</v>
      </c>
      <c r="E1284">
        <v>25</v>
      </c>
      <c r="F1284">
        <v>40</v>
      </c>
      <c r="G1284" t="s">
        <v>65</v>
      </c>
      <c r="H1284" t="s">
        <v>37</v>
      </c>
      <c r="I1284" s="24">
        <v>46119</v>
      </c>
      <c r="J1284" t="s">
        <v>117</v>
      </c>
      <c r="K1284" t="s">
        <v>117</v>
      </c>
      <c r="L1284" t="s">
        <v>117</v>
      </c>
      <c r="M1284">
        <v>7</v>
      </c>
      <c r="N1284">
        <v>175</v>
      </c>
      <c r="O1284">
        <v>5.7142857142857144</v>
      </c>
      <c r="P1284">
        <v>0</v>
      </c>
    </row>
    <row r="1285" spans="1:16" x14ac:dyDescent="0.45">
      <c r="A1285" t="s">
        <v>50</v>
      </c>
      <c r="B1285" t="s">
        <v>27</v>
      </c>
      <c r="C1285" t="s">
        <v>28</v>
      </c>
      <c r="D1285" t="s">
        <v>49</v>
      </c>
      <c r="E1285">
        <v>25</v>
      </c>
      <c r="F1285">
        <v>40</v>
      </c>
      <c r="G1285" t="s">
        <v>66</v>
      </c>
      <c r="H1285" t="s">
        <v>41</v>
      </c>
      <c r="I1285" s="24">
        <v>46120</v>
      </c>
      <c r="J1285" t="s">
        <v>117</v>
      </c>
      <c r="K1285" t="s">
        <v>117</v>
      </c>
      <c r="L1285" t="s">
        <v>117</v>
      </c>
      <c r="M1285">
        <v>0</v>
      </c>
      <c r="N1285">
        <v>0</v>
      </c>
      <c r="O1285">
        <v>5.7142857142857144</v>
      </c>
      <c r="P1285">
        <v>0</v>
      </c>
    </row>
    <row r="1286" spans="1:16" x14ac:dyDescent="0.45">
      <c r="A1286" t="s">
        <v>50</v>
      </c>
      <c r="B1286" t="s">
        <v>27</v>
      </c>
      <c r="C1286" t="s">
        <v>28</v>
      </c>
      <c r="D1286" t="s">
        <v>49</v>
      </c>
      <c r="E1286">
        <v>25</v>
      </c>
      <c r="F1286">
        <v>40</v>
      </c>
      <c r="G1286" t="s">
        <v>67</v>
      </c>
      <c r="H1286" t="s">
        <v>37</v>
      </c>
      <c r="I1286" s="24">
        <v>46121</v>
      </c>
      <c r="J1286" t="s">
        <v>117</v>
      </c>
      <c r="K1286" t="s">
        <v>117</v>
      </c>
      <c r="L1286" t="s">
        <v>117</v>
      </c>
      <c r="M1286">
        <v>7</v>
      </c>
      <c r="N1286">
        <v>175</v>
      </c>
      <c r="O1286">
        <v>5.7142857142857144</v>
      </c>
      <c r="P1286">
        <v>0</v>
      </c>
    </row>
    <row r="1287" spans="1:16" x14ac:dyDescent="0.45">
      <c r="A1287" t="s">
        <v>50</v>
      </c>
      <c r="B1287" t="s">
        <v>27</v>
      </c>
      <c r="C1287" t="s">
        <v>28</v>
      </c>
      <c r="D1287" t="s">
        <v>49</v>
      </c>
      <c r="E1287">
        <v>25</v>
      </c>
      <c r="F1287">
        <v>40</v>
      </c>
      <c r="G1287" t="s">
        <v>68</v>
      </c>
      <c r="H1287" t="s">
        <v>37</v>
      </c>
      <c r="I1287" s="24">
        <v>46122</v>
      </c>
      <c r="J1287" t="s">
        <v>117</v>
      </c>
      <c r="K1287" t="s">
        <v>117</v>
      </c>
      <c r="L1287" t="s">
        <v>117</v>
      </c>
      <c r="M1287">
        <v>7</v>
      </c>
      <c r="N1287">
        <v>175</v>
      </c>
      <c r="O1287">
        <v>5.7142857142857144</v>
      </c>
      <c r="P1287">
        <v>0</v>
      </c>
    </row>
    <row r="1288" spans="1:16" x14ac:dyDescent="0.45">
      <c r="A1288" t="s">
        <v>50</v>
      </c>
      <c r="B1288" t="s">
        <v>27</v>
      </c>
      <c r="C1288" t="s">
        <v>28</v>
      </c>
      <c r="D1288" t="s">
        <v>49</v>
      </c>
      <c r="E1288">
        <v>25</v>
      </c>
      <c r="F1288">
        <v>40</v>
      </c>
      <c r="G1288" t="s">
        <v>69</v>
      </c>
      <c r="H1288" t="s">
        <v>40</v>
      </c>
      <c r="I1288" s="24">
        <v>46123</v>
      </c>
      <c r="J1288" t="s">
        <v>118</v>
      </c>
      <c r="K1288" t="s">
        <v>117</v>
      </c>
      <c r="L1288" t="s">
        <v>118</v>
      </c>
      <c r="M1288">
        <v>5</v>
      </c>
      <c r="N1288">
        <v>187.5</v>
      </c>
      <c r="O1288">
        <v>5.7142857142857144</v>
      </c>
      <c r="P1288">
        <v>1</v>
      </c>
    </row>
    <row r="1289" spans="1:16" x14ac:dyDescent="0.45">
      <c r="A1289" t="s">
        <v>50</v>
      </c>
      <c r="B1289" t="s">
        <v>27</v>
      </c>
      <c r="C1289" t="s">
        <v>28</v>
      </c>
      <c r="D1289" t="s">
        <v>49</v>
      </c>
      <c r="E1289">
        <v>25</v>
      </c>
      <c r="F1289">
        <v>40</v>
      </c>
      <c r="G1289" t="s">
        <v>70</v>
      </c>
      <c r="H1289" t="s">
        <v>37</v>
      </c>
      <c r="I1289" s="24">
        <v>46124</v>
      </c>
      <c r="J1289" t="s">
        <v>118</v>
      </c>
      <c r="K1289" t="s">
        <v>117</v>
      </c>
      <c r="L1289" t="s">
        <v>118</v>
      </c>
      <c r="M1289">
        <v>7</v>
      </c>
      <c r="N1289">
        <v>262.5</v>
      </c>
      <c r="O1289">
        <v>5.7142857142857144</v>
      </c>
      <c r="P1289">
        <v>1</v>
      </c>
    </row>
    <row r="1290" spans="1:16" x14ac:dyDescent="0.45">
      <c r="A1290" t="s">
        <v>51</v>
      </c>
      <c r="B1290" t="s">
        <v>27</v>
      </c>
      <c r="C1290" t="s">
        <v>28</v>
      </c>
      <c r="D1290" t="s">
        <v>49</v>
      </c>
      <c r="E1290">
        <v>25</v>
      </c>
      <c r="F1290">
        <v>40</v>
      </c>
      <c r="G1290" t="s">
        <v>64</v>
      </c>
      <c r="H1290" t="s">
        <v>41</v>
      </c>
      <c r="I1290" s="24">
        <v>46118</v>
      </c>
      <c r="J1290" t="s">
        <v>117</v>
      </c>
      <c r="K1290" t="s">
        <v>117</v>
      </c>
      <c r="L1290" t="s">
        <v>117</v>
      </c>
      <c r="M1290">
        <v>0</v>
      </c>
      <c r="N1290">
        <v>0</v>
      </c>
      <c r="O1290">
        <v>5.7142857142857144</v>
      </c>
      <c r="P1290">
        <v>0</v>
      </c>
    </row>
    <row r="1291" spans="1:16" x14ac:dyDescent="0.45">
      <c r="A1291" t="s">
        <v>51</v>
      </c>
      <c r="B1291" t="s">
        <v>27</v>
      </c>
      <c r="C1291" t="s">
        <v>28</v>
      </c>
      <c r="D1291" t="s">
        <v>49</v>
      </c>
      <c r="E1291">
        <v>25</v>
      </c>
      <c r="F1291">
        <v>40</v>
      </c>
      <c r="G1291" t="s">
        <v>65</v>
      </c>
      <c r="H1291" t="s">
        <v>41</v>
      </c>
      <c r="I1291" s="24">
        <v>46119</v>
      </c>
      <c r="J1291" t="s">
        <v>117</v>
      </c>
      <c r="K1291" t="s">
        <v>117</v>
      </c>
      <c r="L1291" t="s">
        <v>117</v>
      </c>
      <c r="M1291">
        <v>0</v>
      </c>
      <c r="N1291">
        <v>0</v>
      </c>
      <c r="O1291">
        <v>5.7142857142857144</v>
      </c>
      <c r="P1291">
        <v>0</v>
      </c>
    </row>
    <row r="1292" spans="1:16" x14ac:dyDescent="0.45">
      <c r="A1292" t="s">
        <v>51</v>
      </c>
      <c r="B1292" t="s">
        <v>27</v>
      </c>
      <c r="C1292" t="s">
        <v>28</v>
      </c>
      <c r="D1292" t="s">
        <v>49</v>
      </c>
      <c r="E1292">
        <v>25</v>
      </c>
      <c r="F1292">
        <v>40</v>
      </c>
      <c r="G1292" t="s">
        <v>66</v>
      </c>
      <c r="H1292" t="s">
        <v>35</v>
      </c>
      <c r="I1292" s="24">
        <v>46120</v>
      </c>
      <c r="J1292" t="s">
        <v>117</v>
      </c>
      <c r="K1292" t="s">
        <v>117</v>
      </c>
      <c r="L1292" t="s">
        <v>117</v>
      </c>
      <c r="M1292">
        <v>7</v>
      </c>
      <c r="N1292">
        <v>175</v>
      </c>
      <c r="O1292">
        <v>5.7142857142857144</v>
      </c>
      <c r="P1292">
        <v>0</v>
      </c>
    </row>
    <row r="1293" spans="1:16" x14ac:dyDescent="0.45">
      <c r="A1293" t="s">
        <v>51</v>
      </c>
      <c r="B1293" t="s">
        <v>27</v>
      </c>
      <c r="C1293" t="s">
        <v>28</v>
      </c>
      <c r="D1293" t="s">
        <v>49</v>
      </c>
      <c r="E1293">
        <v>25</v>
      </c>
      <c r="F1293">
        <v>40</v>
      </c>
      <c r="G1293" t="s">
        <v>67</v>
      </c>
      <c r="H1293" t="s">
        <v>35</v>
      </c>
      <c r="I1293" s="24">
        <v>46121</v>
      </c>
      <c r="J1293" t="s">
        <v>117</v>
      </c>
      <c r="K1293" t="s">
        <v>117</v>
      </c>
      <c r="L1293" t="s">
        <v>117</v>
      </c>
      <c r="M1293">
        <v>7</v>
      </c>
      <c r="N1293">
        <v>175</v>
      </c>
      <c r="O1293">
        <v>5.7142857142857144</v>
      </c>
      <c r="P1293">
        <v>0</v>
      </c>
    </row>
    <row r="1294" spans="1:16" x14ac:dyDescent="0.45">
      <c r="A1294" t="s">
        <v>51</v>
      </c>
      <c r="B1294" t="s">
        <v>27</v>
      </c>
      <c r="C1294" t="s">
        <v>28</v>
      </c>
      <c r="D1294" t="s">
        <v>49</v>
      </c>
      <c r="E1294">
        <v>25</v>
      </c>
      <c r="F1294">
        <v>40</v>
      </c>
      <c r="G1294" t="s">
        <v>68</v>
      </c>
      <c r="H1294" t="s">
        <v>35</v>
      </c>
      <c r="I1294" s="24">
        <v>46122</v>
      </c>
      <c r="J1294" t="s">
        <v>117</v>
      </c>
      <c r="K1294" t="s">
        <v>117</v>
      </c>
      <c r="L1294" t="s">
        <v>117</v>
      </c>
      <c r="M1294">
        <v>7</v>
      </c>
      <c r="N1294">
        <v>175</v>
      </c>
      <c r="O1294">
        <v>5.7142857142857144</v>
      </c>
      <c r="P1294">
        <v>0</v>
      </c>
    </row>
    <row r="1295" spans="1:16" x14ac:dyDescent="0.45">
      <c r="A1295" t="s">
        <v>51</v>
      </c>
      <c r="B1295" t="s">
        <v>27</v>
      </c>
      <c r="C1295" t="s">
        <v>28</v>
      </c>
      <c r="D1295" t="s">
        <v>49</v>
      </c>
      <c r="E1295">
        <v>25</v>
      </c>
      <c r="F1295">
        <v>40</v>
      </c>
      <c r="G1295" t="s">
        <v>69</v>
      </c>
      <c r="H1295" t="s">
        <v>41</v>
      </c>
      <c r="I1295" s="24">
        <v>46123</v>
      </c>
      <c r="J1295" t="s">
        <v>118</v>
      </c>
      <c r="K1295" t="s">
        <v>117</v>
      </c>
      <c r="L1295" t="s">
        <v>118</v>
      </c>
      <c r="M1295">
        <v>0</v>
      </c>
      <c r="N1295">
        <v>0</v>
      </c>
      <c r="O1295">
        <v>5.7142857142857144</v>
      </c>
      <c r="P1295">
        <v>0</v>
      </c>
    </row>
    <row r="1296" spans="1:16" x14ac:dyDescent="0.45">
      <c r="A1296" t="s">
        <v>51</v>
      </c>
      <c r="B1296" t="s">
        <v>27</v>
      </c>
      <c r="C1296" t="s">
        <v>28</v>
      </c>
      <c r="D1296" t="s">
        <v>49</v>
      </c>
      <c r="E1296">
        <v>25</v>
      </c>
      <c r="F1296">
        <v>40</v>
      </c>
      <c r="G1296" t="s">
        <v>70</v>
      </c>
      <c r="H1296" t="s">
        <v>35</v>
      </c>
      <c r="I1296" s="24">
        <v>46124</v>
      </c>
      <c r="J1296" t="s">
        <v>118</v>
      </c>
      <c r="K1296" t="s">
        <v>117</v>
      </c>
      <c r="L1296" t="s">
        <v>118</v>
      </c>
      <c r="M1296">
        <v>7</v>
      </c>
      <c r="N1296">
        <v>262.5</v>
      </c>
      <c r="O1296">
        <v>5.7142857142857144</v>
      </c>
      <c r="P1296">
        <v>1</v>
      </c>
    </row>
    <row r="1297" spans="1:16" x14ac:dyDescent="0.45">
      <c r="A1297" t="s">
        <v>52</v>
      </c>
      <c r="B1297" t="s">
        <v>26</v>
      </c>
      <c r="C1297" t="s">
        <v>26</v>
      </c>
      <c r="D1297" t="s">
        <v>49</v>
      </c>
      <c r="E1297">
        <v>35</v>
      </c>
      <c r="F1297">
        <v>40</v>
      </c>
      <c r="G1297" t="s">
        <v>64</v>
      </c>
      <c r="H1297" t="s">
        <v>42</v>
      </c>
      <c r="I1297" s="24">
        <v>46118</v>
      </c>
      <c r="J1297" t="s">
        <v>117</v>
      </c>
      <c r="K1297" t="s">
        <v>117</v>
      </c>
      <c r="L1297" t="s">
        <v>117</v>
      </c>
      <c r="M1297">
        <v>7.9999999999999982</v>
      </c>
      <c r="N1297">
        <v>279.99999999999994</v>
      </c>
      <c r="O1297">
        <v>5.7142857142857144</v>
      </c>
      <c r="P1297">
        <v>0</v>
      </c>
    </row>
    <row r="1298" spans="1:16" x14ac:dyDescent="0.45">
      <c r="A1298" t="s">
        <v>52</v>
      </c>
      <c r="B1298" t="s">
        <v>26</v>
      </c>
      <c r="C1298" t="s">
        <v>26</v>
      </c>
      <c r="D1298" t="s">
        <v>49</v>
      </c>
      <c r="E1298">
        <v>35</v>
      </c>
      <c r="F1298">
        <v>40</v>
      </c>
      <c r="G1298" t="s">
        <v>65</v>
      </c>
      <c r="H1298" t="s">
        <v>42</v>
      </c>
      <c r="I1298" s="24">
        <v>46119</v>
      </c>
      <c r="J1298" t="s">
        <v>117</v>
      </c>
      <c r="K1298" t="s">
        <v>117</v>
      </c>
      <c r="L1298" t="s">
        <v>117</v>
      </c>
      <c r="M1298">
        <v>7.9999999999999982</v>
      </c>
      <c r="N1298">
        <v>279.99999999999994</v>
      </c>
      <c r="O1298">
        <v>5.7142857142857144</v>
      </c>
      <c r="P1298">
        <v>0</v>
      </c>
    </row>
    <row r="1299" spans="1:16" x14ac:dyDescent="0.45">
      <c r="A1299" t="s">
        <v>52</v>
      </c>
      <c r="B1299" t="s">
        <v>26</v>
      </c>
      <c r="C1299" t="s">
        <v>26</v>
      </c>
      <c r="D1299" t="s">
        <v>49</v>
      </c>
      <c r="E1299">
        <v>35</v>
      </c>
      <c r="F1299">
        <v>40</v>
      </c>
      <c r="G1299" t="s">
        <v>66</v>
      </c>
      <c r="H1299" t="s">
        <v>41</v>
      </c>
      <c r="I1299" s="24">
        <v>46120</v>
      </c>
      <c r="J1299" t="s">
        <v>117</v>
      </c>
      <c r="K1299" t="s">
        <v>117</v>
      </c>
      <c r="L1299" t="s">
        <v>117</v>
      </c>
      <c r="M1299">
        <v>0</v>
      </c>
      <c r="N1299">
        <v>0</v>
      </c>
      <c r="O1299">
        <v>5.7142857142857144</v>
      </c>
      <c r="P1299">
        <v>0</v>
      </c>
    </row>
    <row r="1300" spans="1:16" x14ac:dyDescent="0.45">
      <c r="A1300" t="s">
        <v>52</v>
      </c>
      <c r="B1300" t="s">
        <v>26</v>
      </c>
      <c r="C1300" t="s">
        <v>26</v>
      </c>
      <c r="D1300" t="s">
        <v>49</v>
      </c>
      <c r="E1300">
        <v>35</v>
      </c>
      <c r="F1300">
        <v>40</v>
      </c>
      <c r="G1300" t="s">
        <v>67</v>
      </c>
      <c r="H1300" t="s">
        <v>41</v>
      </c>
      <c r="I1300" s="24">
        <v>46121</v>
      </c>
      <c r="J1300" t="s">
        <v>117</v>
      </c>
      <c r="K1300" t="s">
        <v>117</v>
      </c>
      <c r="L1300" t="s">
        <v>117</v>
      </c>
      <c r="M1300">
        <v>0</v>
      </c>
      <c r="N1300">
        <v>0</v>
      </c>
      <c r="O1300">
        <v>5.7142857142857144</v>
      </c>
      <c r="P1300">
        <v>0</v>
      </c>
    </row>
    <row r="1301" spans="1:16" x14ac:dyDescent="0.45">
      <c r="A1301" t="s">
        <v>52</v>
      </c>
      <c r="B1301" t="s">
        <v>26</v>
      </c>
      <c r="C1301" t="s">
        <v>26</v>
      </c>
      <c r="D1301" t="s">
        <v>49</v>
      </c>
      <c r="E1301">
        <v>35</v>
      </c>
      <c r="F1301">
        <v>40</v>
      </c>
      <c r="G1301" t="s">
        <v>68</v>
      </c>
      <c r="H1301" t="s">
        <v>41</v>
      </c>
      <c r="I1301" s="24">
        <v>46122</v>
      </c>
      <c r="J1301" t="s">
        <v>117</v>
      </c>
      <c r="K1301" t="s">
        <v>117</v>
      </c>
      <c r="L1301" t="s">
        <v>117</v>
      </c>
      <c r="M1301">
        <v>0</v>
      </c>
      <c r="N1301">
        <v>0</v>
      </c>
      <c r="O1301">
        <v>5.7142857142857144</v>
      </c>
      <c r="P1301">
        <v>0</v>
      </c>
    </row>
    <row r="1302" spans="1:16" x14ac:dyDescent="0.45">
      <c r="A1302" t="s">
        <v>52</v>
      </c>
      <c r="B1302" t="s">
        <v>26</v>
      </c>
      <c r="C1302" t="s">
        <v>26</v>
      </c>
      <c r="D1302" t="s">
        <v>49</v>
      </c>
      <c r="E1302">
        <v>35</v>
      </c>
      <c r="F1302">
        <v>40</v>
      </c>
      <c r="G1302" t="s">
        <v>69</v>
      </c>
      <c r="H1302" t="s">
        <v>41</v>
      </c>
      <c r="I1302" s="24">
        <v>46123</v>
      </c>
      <c r="J1302" t="s">
        <v>118</v>
      </c>
      <c r="K1302" t="s">
        <v>117</v>
      </c>
      <c r="L1302" t="s">
        <v>118</v>
      </c>
      <c r="M1302">
        <v>0</v>
      </c>
      <c r="N1302">
        <v>0</v>
      </c>
      <c r="O1302">
        <v>5.7142857142857144</v>
      </c>
      <c r="P1302">
        <v>0</v>
      </c>
    </row>
    <row r="1303" spans="1:16" x14ac:dyDescent="0.45">
      <c r="A1303" t="s">
        <v>52</v>
      </c>
      <c r="B1303" t="s">
        <v>26</v>
      </c>
      <c r="C1303" t="s">
        <v>26</v>
      </c>
      <c r="D1303" t="s">
        <v>49</v>
      </c>
      <c r="E1303">
        <v>35</v>
      </c>
      <c r="F1303">
        <v>40</v>
      </c>
      <c r="G1303" t="s">
        <v>70</v>
      </c>
      <c r="H1303" t="s">
        <v>41</v>
      </c>
      <c r="I1303" s="24">
        <v>46124</v>
      </c>
      <c r="J1303" t="s">
        <v>118</v>
      </c>
      <c r="K1303" t="s">
        <v>117</v>
      </c>
      <c r="L1303" t="s">
        <v>118</v>
      </c>
      <c r="M1303">
        <v>0</v>
      </c>
      <c r="N1303">
        <v>0</v>
      </c>
      <c r="O1303">
        <v>5.7142857142857144</v>
      </c>
      <c r="P1303">
        <v>0</v>
      </c>
    </row>
    <row r="1304" spans="1:16" x14ac:dyDescent="0.45">
      <c r="A1304" t="s">
        <v>53</v>
      </c>
      <c r="B1304" t="s">
        <v>26</v>
      </c>
      <c r="C1304" t="s">
        <v>26</v>
      </c>
      <c r="D1304" t="s">
        <v>49</v>
      </c>
      <c r="E1304">
        <v>35</v>
      </c>
      <c r="F1304">
        <v>40</v>
      </c>
      <c r="G1304" t="s">
        <v>64</v>
      </c>
      <c r="H1304" t="s">
        <v>44</v>
      </c>
      <c r="I1304" s="24">
        <v>46118</v>
      </c>
      <c r="J1304" t="s">
        <v>117</v>
      </c>
      <c r="K1304" t="s">
        <v>117</v>
      </c>
      <c r="L1304" t="s">
        <v>117</v>
      </c>
      <c r="M1304">
        <v>8</v>
      </c>
      <c r="N1304">
        <v>280</v>
      </c>
      <c r="O1304">
        <v>5.7142857142857144</v>
      </c>
      <c r="P1304">
        <v>0</v>
      </c>
    </row>
    <row r="1305" spans="1:16" x14ac:dyDescent="0.45">
      <c r="A1305" t="s">
        <v>53</v>
      </c>
      <c r="B1305" t="s">
        <v>26</v>
      </c>
      <c r="C1305" t="s">
        <v>26</v>
      </c>
      <c r="D1305" t="s">
        <v>49</v>
      </c>
      <c r="E1305">
        <v>35</v>
      </c>
      <c r="F1305">
        <v>40</v>
      </c>
      <c r="G1305" t="s">
        <v>65</v>
      </c>
      <c r="H1305" t="s">
        <v>44</v>
      </c>
      <c r="I1305" s="24">
        <v>46119</v>
      </c>
      <c r="J1305" t="s">
        <v>117</v>
      </c>
      <c r="K1305" t="s">
        <v>117</v>
      </c>
      <c r="L1305" t="s">
        <v>117</v>
      </c>
      <c r="M1305">
        <v>8</v>
      </c>
      <c r="N1305">
        <v>280</v>
      </c>
      <c r="O1305">
        <v>5.7142857142857144</v>
      </c>
      <c r="P1305">
        <v>0</v>
      </c>
    </row>
    <row r="1306" spans="1:16" x14ac:dyDescent="0.45">
      <c r="A1306" t="s">
        <v>53</v>
      </c>
      <c r="B1306" t="s">
        <v>26</v>
      </c>
      <c r="C1306" t="s">
        <v>26</v>
      </c>
      <c r="D1306" t="s">
        <v>49</v>
      </c>
      <c r="E1306">
        <v>35</v>
      </c>
      <c r="F1306">
        <v>40</v>
      </c>
      <c r="G1306" t="s">
        <v>66</v>
      </c>
      <c r="H1306" t="s">
        <v>42</v>
      </c>
      <c r="I1306" s="24">
        <v>46120</v>
      </c>
      <c r="J1306" t="s">
        <v>117</v>
      </c>
      <c r="K1306" t="s">
        <v>117</v>
      </c>
      <c r="L1306" t="s">
        <v>117</v>
      </c>
      <c r="M1306">
        <v>7.9999999999999982</v>
      </c>
      <c r="N1306">
        <v>279.99999999999994</v>
      </c>
      <c r="O1306">
        <v>5.7142857142857144</v>
      </c>
      <c r="P1306">
        <v>0</v>
      </c>
    </row>
    <row r="1307" spans="1:16" x14ac:dyDescent="0.45">
      <c r="A1307" t="s">
        <v>53</v>
      </c>
      <c r="B1307" t="s">
        <v>26</v>
      </c>
      <c r="C1307" t="s">
        <v>26</v>
      </c>
      <c r="D1307" t="s">
        <v>49</v>
      </c>
      <c r="E1307">
        <v>35</v>
      </c>
      <c r="F1307">
        <v>40</v>
      </c>
      <c r="G1307" t="s">
        <v>67</v>
      </c>
      <c r="H1307" t="s">
        <v>44</v>
      </c>
      <c r="I1307" s="24">
        <v>46121</v>
      </c>
      <c r="J1307" t="s">
        <v>117</v>
      </c>
      <c r="K1307" t="s">
        <v>117</v>
      </c>
      <c r="L1307" t="s">
        <v>117</v>
      </c>
      <c r="M1307">
        <v>8</v>
      </c>
      <c r="N1307">
        <v>280</v>
      </c>
      <c r="O1307">
        <v>5.7142857142857144</v>
      </c>
      <c r="P1307">
        <v>0</v>
      </c>
    </row>
    <row r="1308" spans="1:16" x14ac:dyDescent="0.45">
      <c r="A1308" t="s">
        <v>53</v>
      </c>
      <c r="B1308" t="s">
        <v>26</v>
      </c>
      <c r="C1308" t="s">
        <v>26</v>
      </c>
      <c r="D1308" t="s">
        <v>49</v>
      </c>
      <c r="E1308">
        <v>35</v>
      </c>
      <c r="F1308">
        <v>40</v>
      </c>
      <c r="G1308" t="s">
        <v>68</v>
      </c>
      <c r="H1308" t="s">
        <v>41</v>
      </c>
      <c r="I1308" s="24">
        <v>46122</v>
      </c>
      <c r="J1308" t="s">
        <v>117</v>
      </c>
      <c r="K1308" t="s">
        <v>117</v>
      </c>
      <c r="L1308" t="s">
        <v>117</v>
      </c>
      <c r="M1308">
        <v>0</v>
      </c>
      <c r="N1308">
        <v>0</v>
      </c>
      <c r="O1308">
        <v>5.7142857142857144</v>
      </c>
      <c r="P1308">
        <v>0</v>
      </c>
    </row>
    <row r="1309" spans="1:16" x14ac:dyDescent="0.45">
      <c r="A1309" t="s">
        <v>53</v>
      </c>
      <c r="B1309" t="s">
        <v>26</v>
      </c>
      <c r="C1309" t="s">
        <v>26</v>
      </c>
      <c r="D1309" t="s">
        <v>49</v>
      </c>
      <c r="E1309">
        <v>35</v>
      </c>
      <c r="F1309">
        <v>40</v>
      </c>
      <c r="G1309" t="s">
        <v>69</v>
      </c>
      <c r="H1309" t="s">
        <v>42</v>
      </c>
      <c r="I1309" s="24">
        <v>46123</v>
      </c>
      <c r="J1309" t="s">
        <v>118</v>
      </c>
      <c r="K1309" t="s">
        <v>117</v>
      </c>
      <c r="L1309" t="s">
        <v>118</v>
      </c>
      <c r="M1309">
        <v>7.9999999999999982</v>
      </c>
      <c r="N1309">
        <v>419.99999999999989</v>
      </c>
      <c r="O1309">
        <v>5.7142857142857144</v>
      </c>
      <c r="P1309">
        <v>1</v>
      </c>
    </row>
    <row r="1310" spans="1:16" x14ac:dyDescent="0.45">
      <c r="A1310" t="s">
        <v>53</v>
      </c>
      <c r="B1310" t="s">
        <v>26</v>
      </c>
      <c r="C1310" t="s">
        <v>26</v>
      </c>
      <c r="D1310" t="s">
        <v>49</v>
      </c>
      <c r="E1310">
        <v>35</v>
      </c>
      <c r="F1310">
        <v>40</v>
      </c>
      <c r="G1310" t="s">
        <v>70</v>
      </c>
      <c r="H1310" t="s">
        <v>42</v>
      </c>
      <c r="I1310" s="24">
        <v>46124</v>
      </c>
      <c r="J1310" t="s">
        <v>118</v>
      </c>
      <c r="K1310" t="s">
        <v>117</v>
      </c>
      <c r="L1310" t="s">
        <v>118</v>
      </c>
      <c r="M1310">
        <v>7.9999999999999982</v>
      </c>
      <c r="N1310">
        <v>419.99999999999989</v>
      </c>
      <c r="O1310">
        <v>5.7142857142857144</v>
      </c>
      <c r="P1310">
        <v>1</v>
      </c>
    </row>
    <row r="1311" spans="1:16" x14ac:dyDescent="0.45">
      <c r="A1311" t="s">
        <v>54</v>
      </c>
      <c r="B1311" t="s">
        <v>25</v>
      </c>
      <c r="C1311" t="s">
        <v>26</v>
      </c>
      <c r="D1311" t="s">
        <v>49</v>
      </c>
      <c r="E1311">
        <v>28</v>
      </c>
      <c r="F1311">
        <v>40</v>
      </c>
      <c r="G1311" t="s">
        <v>64</v>
      </c>
      <c r="H1311" t="s">
        <v>41</v>
      </c>
      <c r="I1311" s="24">
        <v>46118</v>
      </c>
      <c r="J1311" t="s">
        <v>117</v>
      </c>
      <c r="K1311" t="s">
        <v>117</v>
      </c>
      <c r="L1311" t="s">
        <v>117</v>
      </c>
      <c r="M1311">
        <v>0</v>
      </c>
      <c r="N1311">
        <v>0</v>
      </c>
      <c r="O1311">
        <v>5.7142857142857144</v>
      </c>
      <c r="P1311">
        <v>0</v>
      </c>
    </row>
    <row r="1312" spans="1:16" x14ac:dyDescent="0.45">
      <c r="A1312" t="s">
        <v>54</v>
      </c>
      <c r="B1312" t="s">
        <v>25</v>
      </c>
      <c r="C1312" t="s">
        <v>26</v>
      </c>
      <c r="D1312" t="s">
        <v>49</v>
      </c>
      <c r="E1312">
        <v>28</v>
      </c>
      <c r="F1312">
        <v>40</v>
      </c>
      <c r="G1312" t="s">
        <v>65</v>
      </c>
      <c r="H1312" t="s">
        <v>41</v>
      </c>
      <c r="I1312" s="24">
        <v>46119</v>
      </c>
      <c r="J1312" t="s">
        <v>117</v>
      </c>
      <c r="K1312" t="s">
        <v>117</v>
      </c>
      <c r="L1312" t="s">
        <v>117</v>
      </c>
      <c r="M1312">
        <v>0</v>
      </c>
      <c r="N1312">
        <v>0</v>
      </c>
      <c r="O1312">
        <v>5.7142857142857144</v>
      </c>
      <c r="P1312">
        <v>0</v>
      </c>
    </row>
    <row r="1313" spans="1:16" x14ac:dyDescent="0.45">
      <c r="A1313" t="s">
        <v>54</v>
      </c>
      <c r="B1313" t="s">
        <v>25</v>
      </c>
      <c r="C1313" t="s">
        <v>26</v>
      </c>
      <c r="D1313" t="s">
        <v>49</v>
      </c>
      <c r="E1313">
        <v>28</v>
      </c>
      <c r="F1313">
        <v>40</v>
      </c>
      <c r="G1313" t="s">
        <v>66</v>
      </c>
      <c r="H1313" t="s">
        <v>42</v>
      </c>
      <c r="I1313" s="24">
        <v>46120</v>
      </c>
      <c r="J1313" t="s">
        <v>117</v>
      </c>
      <c r="K1313" t="s">
        <v>117</v>
      </c>
      <c r="L1313" t="s">
        <v>117</v>
      </c>
      <c r="M1313">
        <v>7.9999999999999982</v>
      </c>
      <c r="N1313">
        <v>223.99999999999994</v>
      </c>
      <c r="O1313">
        <v>5.7142857142857144</v>
      </c>
      <c r="P1313">
        <v>0</v>
      </c>
    </row>
    <row r="1314" spans="1:16" x14ac:dyDescent="0.45">
      <c r="A1314" t="s">
        <v>54</v>
      </c>
      <c r="B1314" t="s">
        <v>25</v>
      </c>
      <c r="C1314" t="s">
        <v>26</v>
      </c>
      <c r="D1314" t="s">
        <v>49</v>
      </c>
      <c r="E1314">
        <v>28</v>
      </c>
      <c r="F1314">
        <v>40</v>
      </c>
      <c r="G1314" t="s">
        <v>67</v>
      </c>
      <c r="H1314" t="s">
        <v>42</v>
      </c>
      <c r="I1314" s="24">
        <v>46121</v>
      </c>
      <c r="J1314" t="s">
        <v>117</v>
      </c>
      <c r="K1314" t="s">
        <v>117</v>
      </c>
      <c r="L1314" t="s">
        <v>117</v>
      </c>
      <c r="M1314">
        <v>7.9999999999999982</v>
      </c>
      <c r="N1314">
        <v>223.99999999999994</v>
      </c>
      <c r="O1314">
        <v>5.7142857142857144</v>
      </c>
      <c r="P1314">
        <v>0</v>
      </c>
    </row>
    <row r="1315" spans="1:16" x14ac:dyDescent="0.45">
      <c r="A1315" t="s">
        <v>54</v>
      </c>
      <c r="B1315" t="s">
        <v>25</v>
      </c>
      <c r="C1315" t="s">
        <v>26</v>
      </c>
      <c r="D1315" t="s">
        <v>49</v>
      </c>
      <c r="E1315">
        <v>28</v>
      </c>
      <c r="F1315">
        <v>40</v>
      </c>
      <c r="G1315" t="s">
        <v>68</v>
      </c>
      <c r="H1315" t="s">
        <v>42</v>
      </c>
      <c r="I1315" s="24">
        <v>46122</v>
      </c>
      <c r="J1315" t="s">
        <v>117</v>
      </c>
      <c r="K1315" t="s">
        <v>117</v>
      </c>
      <c r="L1315" t="s">
        <v>117</v>
      </c>
      <c r="M1315">
        <v>7.9999999999999982</v>
      </c>
      <c r="N1315">
        <v>223.99999999999994</v>
      </c>
      <c r="O1315">
        <v>5.7142857142857144</v>
      </c>
      <c r="P1315">
        <v>0</v>
      </c>
    </row>
    <row r="1316" spans="1:16" x14ac:dyDescent="0.45">
      <c r="A1316" t="s">
        <v>54</v>
      </c>
      <c r="B1316" t="s">
        <v>25</v>
      </c>
      <c r="C1316" t="s">
        <v>26</v>
      </c>
      <c r="D1316" t="s">
        <v>49</v>
      </c>
      <c r="E1316">
        <v>28</v>
      </c>
      <c r="F1316">
        <v>40</v>
      </c>
      <c r="G1316" t="s">
        <v>69</v>
      </c>
      <c r="H1316" t="s">
        <v>44</v>
      </c>
      <c r="I1316" s="24">
        <v>46123</v>
      </c>
      <c r="J1316" t="s">
        <v>118</v>
      </c>
      <c r="K1316" t="s">
        <v>117</v>
      </c>
      <c r="L1316" t="s">
        <v>118</v>
      </c>
      <c r="M1316">
        <v>8</v>
      </c>
      <c r="N1316">
        <v>336</v>
      </c>
      <c r="O1316">
        <v>5.7142857142857144</v>
      </c>
      <c r="P1316">
        <v>1</v>
      </c>
    </row>
    <row r="1317" spans="1:16" x14ac:dyDescent="0.45">
      <c r="A1317" t="s">
        <v>54</v>
      </c>
      <c r="B1317" t="s">
        <v>25</v>
      </c>
      <c r="C1317" t="s">
        <v>26</v>
      </c>
      <c r="D1317" t="s">
        <v>49</v>
      </c>
      <c r="E1317">
        <v>28</v>
      </c>
      <c r="F1317">
        <v>40</v>
      </c>
      <c r="G1317" t="s">
        <v>70</v>
      </c>
      <c r="H1317" t="s">
        <v>44</v>
      </c>
      <c r="I1317" s="24">
        <v>46124</v>
      </c>
      <c r="J1317" t="s">
        <v>118</v>
      </c>
      <c r="K1317" t="s">
        <v>117</v>
      </c>
      <c r="L1317" t="s">
        <v>118</v>
      </c>
      <c r="M1317">
        <v>8</v>
      </c>
      <c r="N1317">
        <v>336</v>
      </c>
      <c r="O1317">
        <v>5.7142857142857144</v>
      </c>
      <c r="P1317">
        <v>1</v>
      </c>
    </row>
    <row r="1318" spans="1:16" x14ac:dyDescent="0.45">
      <c r="A1318" t="s">
        <v>55</v>
      </c>
      <c r="B1318" t="s">
        <v>25</v>
      </c>
      <c r="C1318" t="s">
        <v>26</v>
      </c>
      <c r="D1318" t="s">
        <v>49</v>
      </c>
      <c r="E1318">
        <v>28</v>
      </c>
      <c r="F1318">
        <v>40</v>
      </c>
      <c r="G1318" t="s">
        <v>64</v>
      </c>
      <c r="H1318" t="s">
        <v>44</v>
      </c>
      <c r="I1318" s="24">
        <v>46118</v>
      </c>
      <c r="J1318" t="s">
        <v>117</v>
      </c>
      <c r="K1318" t="s">
        <v>117</v>
      </c>
      <c r="L1318" t="s">
        <v>117</v>
      </c>
      <c r="M1318">
        <v>8</v>
      </c>
      <c r="N1318">
        <v>224</v>
      </c>
      <c r="O1318">
        <v>5.7142857142857144</v>
      </c>
      <c r="P1318">
        <v>0</v>
      </c>
    </row>
    <row r="1319" spans="1:16" x14ac:dyDescent="0.45">
      <c r="A1319" t="s">
        <v>55</v>
      </c>
      <c r="B1319" t="s">
        <v>25</v>
      </c>
      <c r="C1319" t="s">
        <v>26</v>
      </c>
      <c r="D1319" t="s">
        <v>49</v>
      </c>
      <c r="E1319">
        <v>28</v>
      </c>
      <c r="F1319">
        <v>40</v>
      </c>
      <c r="G1319" t="s">
        <v>65</v>
      </c>
      <c r="H1319" t="s">
        <v>44</v>
      </c>
      <c r="I1319" s="24">
        <v>46119</v>
      </c>
      <c r="J1319" t="s">
        <v>117</v>
      </c>
      <c r="K1319" t="s">
        <v>117</v>
      </c>
      <c r="L1319" t="s">
        <v>117</v>
      </c>
      <c r="M1319">
        <v>8</v>
      </c>
      <c r="N1319">
        <v>224</v>
      </c>
      <c r="O1319">
        <v>5.7142857142857144</v>
      </c>
      <c r="P1319">
        <v>0</v>
      </c>
    </row>
    <row r="1320" spans="1:16" x14ac:dyDescent="0.45">
      <c r="A1320" t="s">
        <v>55</v>
      </c>
      <c r="B1320" t="s">
        <v>25</v>
      </c>
      <c r="C1320" t="s">
        <v>26</v>
      </c>
      <c r="D1320" t="s">
        <v>49</v>
      </c>
      <c r="E1320">
        <v>28</v>
      </c>
      <c r="F1320">
        <v>40</v>
      </c>
      <c r="G1320" t="s">
        <v>66</v>
      </c>
      <c r="H1320" t="s">
        <v>44</v>
      </c>
      <c r="I1320" s="24">
        <v>46120</v>
      </c>
      <c r="J1320" t="s">
        <v>117</v>
      </c>
      <c r="K1320" t="s">
        <v>117</v>
      </c>
      <c r="L1320" t="s">
        <v>117</v>
      </c>
      <c r="M1320">
        <v>8</v>
      </c>
      <c r="N1320">
        <v>224</v>
      </c>
      <c r="O1320">
        <v>5.7142857142857144</v>
      </c>
      <c r="P1320">
        <v>0</v>
      </c>
    </row>
    <row r="1321" spans="1:16" x14ac:dyDescent="0.45">
      <c r="A1321" t="s">
        <v>55</v>
      </c>
      <c r="B1321" t="s">
        <v>25</v>
      </c>
      <c r="C1321" t="s">
        <v>26</v>
      </c>
      <c r="D1321" t="s">
        <v>49</v>
      </c>
      <c r="E1321">
        <v>28</v>
      </c>
      <c r="F1321">
        <v>40</v>
      </c>
      <c r="G1321" t="s">
        <v>67</v>
      </c>
      <c r="H1321" t="s">
        <v>44</v>
      </c>
      <c r="I1321" s="24">
        <v>46121</v>
      </c>
      <c r="J1321" t="s">
        <v>117</v>
      </c>
      <c r="K1321" t="s">
        <v>117</v>
      </c>
      <c r="L1321" t="s">
        <v>117</v>
      </c>
      <c r="M1321">
        <v>8</v>
      </c>
      <c r="N1321">
        <v>224</v>
      </c>
      <c r="O1321">
        <v>5.7142857142857144</v>
      </c>
      <c r="P1321">
        <v>0</v>
      </c>
    </row>
    <row r="1322" spans="1:16" x14ac:dyDescent="0.45">
      <c r="A1322" t="s">
        <v>55</v>
      </c>
      <c r="B1322" t="s">
        <v>25</v>
      </c>
      <c r="C1322" t="s">
        <v>26</v>
      </c>
      <c r="D1322" t="s">
        <v>49</v>
      </c>
      <c r="E1322">
        <v>28</v>
      </c>
      <c r="F1322">
        <v>40</v>
      </c>
      <c r="G1322" t="s">
        <v>68</v>
      </c>
      <c r="H1322" t="s">
        <v>44</v>
      </c>
      <c r="I1322" s="24">
        <v>46122</v>
      </c>
      <c r="J1322" t="s">
        <v>117</v>
      </c>
      <c r="K1322" t="s">
        <v>117</v>
      </c>
      <c r="L1322" t="s">
        <v>117</v>
      </c>
      <c r="M1322">
        <v>8</v>
      </c>
      <c r="N1322">
        <v>224</v>
      </c>
      <c r="O1322">
        <v>5.7142857142857144</v>
      </c>
      <c r="P1322">
        <v>0</v>
      </c>
    </row>
    <row r="1323" spans="1:16" x14ac:dyDescent="0.45">
      <c r="A1323" t="s">
        <v>55</v>
      </c>
      <c r="B1323" t="s">
        <v>25</v>
      </c>
      <c r="C1323" t="s">
        <v>26</v>
      </c>
      <c r="D1323" t="s">
        <v>49</v>
      </c>
      <c r="E1323">
        <v>28</v>
      </c>
      <c r="F1323">
        <v>40</v>
      </c>
      <c r="G1323" t="s">
        <v>69</v>
      </c>
      <c r="H1323" t="s">
        <v>41</v>
      </c>
      <c r="I1323" s="24">
        <v>46123</v>
      </c>
      <c r="J1323" t="s">
        <v>118</v>
      </c>
      <c r="K1323" t="s">
        <v>117</v>
      </c>
      <c r="L1323" t="s">
        <v>118</v>
      </c>
      <c r="M1323">
        <v>0</v>
      </c>
      <c r="N1323">
        <v>0</v>
      </c>
      <c r="O1323">
        <v>5.7142857142857144</v>
      </c>
      <c r="P1323">
        <v>0</v>
      </c>
    </row>
    <row r="1324" spans="1:16" x14ac:dyDescent="0.45">
      <c r="A1324" t="s">
        <v>55</v>
      </c>
      <c r="B1324" t="s">
        <v>25</v>
      </c>
      <c r="C1324" t="s">
        <v>26</v>
      </c>
      <c r="D1324" t="s">
        <v>49</v>
      </c>
      <c r="E1324">
        <v>28</v>
      </c>
      <c r="F1324">
        <v>40</v>
      </c>
      <c r="G1324" t="s">
        <v>70</v>
      </c>
      <c r="H1324" t="s">
        <v>41</v>
      </c>
      <c r="I1324" s="24">
        <v>46124</v>
      </c>
      <c r="J1324" t="s">
        <v>118</v>
      </c>
      <c r="K1324" t="s">
        <v>117</v>
      </c>
      <c r="L1324" t="s">
        <v>118</v>
      </c>
      <c r="M1324">
        <v>0</v>
      </c>
      <c r="N1324">
        <v>0</v>
      </c>
      <c r="O1324">
        <v>5.7142857142857144</v>
      </c>
      <c r="P1324">
        <v>0</v>
      </c>
    </row>
    <row r="1325" spans="1:16" x14ac:dyDescent="0.45">
      <c r="A1325" t="s">
        <v>56</v>
      </c>
      <c r="B1325" t="s">
        <v>29</v>
      </c>
      <c r="C1325" t="s">
        <v>29</v>
      </c>
      <c r="D1325" t="s">
        <v>49</v>
      </c>
      <c r="E1325">
        <v>20</v>
      </c>
      <c r="F1325">
        <v>40</v>
      </c>
      <c r="G1325" t="s">
        <v>64</v>
      </c>
      <c r="H1325" t="s">
        <v>45</v>
      </c>
      <c r="I1325" s="24">
        <v>46118</v>
      </c>
      <c r="J1325" t="s">
        <v>117</v>
      </c>
      <c r="K1325" t="s">
        <v>117</v>
      </c>
      <c r="L1325" t="s">
        <v>117</v>
      </c>
      <c r="M1325">
        <v>7.9999999999999982</v>
      </c>
      <c r="N1325">
        <v>159.99999999999997</v>
      </c>
      <c r="O1325">
        <v>5.7142857142857144</v>
      </c>
      <c r="P1325">
        <v>0</v>
      </c>
    </row>
    <row r="1326" spans="1:16" x14ac:dyDescent="0.45">
      <c r="A1326" t="s">
        <v>56</v>
      </c>
      <c r="B1326" t="s">
        <v>29</v>
      </c>
      <c r="C1326" t="s">
        <v>29</v>
      </c>
      <c r="D1326" t="s">
        <v>49</v>
      </c>
      <c r="E1326">
        <v>20</v>
      </c>
      <c r="F1326">
        <v>40</v>
      </c>
      <c r="G1326" t="s">
        <v>65</v>
      </c>
      <c r="H1326" t="s">
        <v>45</v>
      </c>
      <c r="I1326" s="24">
        <v>46119</v>
      </c>
      <c r="J1326" t="s">
        <v>117</v>
      </c>
      <c r="K1326" t="s">
        <v>117</v>
      </c>
      <c r="L1326" t="s">
        <v>117</v>
      </c>
      <c r="M1326">
        <v>7.9999999999999982</v>
      </c>
      <c r="N1326">
        <v>159.99999999999997</v>
      </c>
      <c r="O1326">
        <v>5.7142857142857144</v>
      </c>
      <c r="P1326">
        <v>0</v>
      </c>
    </row>
    <row r="1327" spans="1:16" x14ac:dyDescent="0.45">
      <c r="A1327" t="s">
        <v>56</v>
      </c>
      <c r="B1327" t="s">
        <v>29</v>
      </c>
      <c r="C1327" t="s">
        <v>29</v>
      </c>
      <c r="D1327" t="s">
        <v>49</v>
      </c>
      <c r="E1327">
        <v>20</v>
      </c>
      <c r="F1327">
        <v>40</v>
      </c>
      <c r="G1327" t="s">
        <v>66</v>
      </c>
      <c r="H1327" t="s">
        <v>45</v>
      </c>
      <c r="I1327" s="24">
        <v>46120</v>
      </c>
      <c r="J1327" t="s">
        <v>117</v>
      </c>
      <c r="K1327" t="s">
        <v>117</v>
      </c>
      <c r="L1327" t="s">
        <v>117</v>
      </c>
      <c r="M1327">
        <v>7.9999999999999982</v>
      </c>
      <c r="N1327">
        <v>159.99999999999997</v>
      </c>
      <c r="O1327">
        <v>5.7142857142857144</v>
      </c>
      <c r="P1327">
        <v>0</v>
      </c>
    </row>
    <row r="1328" spans="1:16" x14ac:dyDescent="0.45">
      <c r="A1328" t="s">
        <v>56</v>
      </c>
      <c r="B1328" t="s">
        <v>29</v>
      </c>
      <c r="C1328" t="s">
        <v>29</v>
      </c>
      <c r="D1328" t="s">
        <v>49</v>
      </c>
      <c r="E1328">
        <v>20</v>
      </c>
      <c r="F1328">
        <v>40</v>
      </c>
      <c r="G1328" t="s">
        <v>67</v>
      </c>
      <c r="H1328" t="s">
        <v>41</v>
      </c>
      <c r="I1328" s="24">
        <v>46121</v>
      </c>
      <c r="J1328" t="s">
        <v>117</v>
      </c>
      <c r="K1328" t="s">
        <v>117</v>
      </c>
      <c r="L1328" t="s">
        <v>117</v>
      </c>
      <c r="M1328">
        <v>0</v>
      </c>
      <c r="N1328">
        <v>0</v>
      </c>
      <c r="O1328">
        <v>5.7142857142857144</v>
      </c>
      <c r="P1328">
        <v>0</v>
      </c>
    </row>
    <row r="1329" spans="1:16" x14ac:dyDescent="0.45">
      <c r="A1329" t="s">
        <v>56</v>
      </c>
      <c r="B1329" t="s">
        <v>29</v>
      </c>
      <c r="C1329" t="s">
        <v>29</v>
      </c>
      <c r="D1329" t="s">
        <v>49</v>
      </c>
      <c r="E1329">
        <v>20</v>
      </c>
      <c r="F1329">
        <v>40</v>
      </c>
      <c r="G1329" t="s">
        <v>68</v>
      </c>
      <c r="H1329" t="s">
        <v>44</v>
      </c>
      <c r="I1329" s="24">
        <v>46122</v>
      </c>
      <c r="J1329" t="s">
        <v>117</v>
      </c>
      <c r="K1329" t="s">
        <v>117</v>
      </c>
      <c r="L1329" t="s">
        <v>117</v>
      </c>
      <c r="M1329">
        <v>8</v>
      </c>
      <c r="N1329">
        <v>160</v>
      </c>
      <c r="O1329">
        <v>5.7142857142857144</v>
      </c>
      <c r="P1329">
        <v>0</v>
      </c>
    </row>
    <row r="1330" spans="1:16" x14ac:dyDescent="0.45">
      <c r="A1330" t="s">
        <v>56</v>
      </c>
      <c r="B1330" t="s">
        <v>29</v>
      </c>
      <c r="C1330" t="s">
        <v>29</v>
      </c>
      <c r="D1330" t="s">
        <v>49</v>
      </c>
      <c r="E1330">
        <v>20</v>
      </c>
      <c r="F1330">
        <v>40</v>
      </c>
      <c r="G1330" t="s">
        <v>69</v>
      </c>
      <c r="H1330" t="s">
        <v>45</v>
      </c>
      <c r="I1330" s="24">
        <v>46123</v>
      </c>
      <c r="J1330" t="s">
        <v>118</v>
      </c>
      <c r="K1330" t="s">
        <v>117</v>
      </c>
      <c r="L1330" t="s">
        <v>118</v>
      </c>
      <c r="M1330">
        <v>7.9999999999999982</v>
      </c>
      <c r="N1330">
        <v>239.99999999999994</v>
      </c>
      <c r="O1330">
        <v>5.7142857142857144</v>
      </c>
      <c r="P1330">
        <v>1</v>
      </c>
    </row>
    <row r="1331" spans="1:16" x14ac:dyDescent="0.45">
      <c r="A1331" t="s">
        <v>56</v>
      </c>
      <c r="B1331" t="s">
        <v>29</v>
      </c>
      <c r="C1331" t="s">
        <v>29</v>
      </c>
      <c r="D1331" t="s">
        <v>49</v>
      </c>
      <c r="E1331">
        <v>20</v>
      </c>
      <c r="F1331">
        <v>40</v>
      </c>
      <c r="G1331" t="s">
        <v>70</v>
      </c>
      <c r="H1331" t="s">
        <v>45</v>
      </c>
      <c r="I1331" s="24">
        <v>46124</v>
      </c>
      <c r="J1331" t="s">
        <v>118</v>
      </c>
      <c r="K1331" t="s">
        <v>117</v>
      </c>
      <c r="L1331" t="s">
        <v>118</v>
      </c>
      <c r="M1331">
        <v>7.9999999999999982</v>
      </c>
      <c r="N1331">
        <v>239.99999999999994</v>
      </c>
      <c r="O1331">
        <v>5.7142857142857144</v>
      </c>
      <c r="P1331">
        <v>1</v>
      </c>
    </row>
    <row r="1332" spans="1:16" x14ac:dyDescent="0.45">
      <c r="A1332" t="s">
        <v>57</v>
      </c>
      <c r="B1332" t="s">
        <v>29</v>
      </c>
      <c r="C1332" t="s">
        <v>29</v>
      </c>
      <c r="D1332" t="s">
        <v>49</v>
      </c>
      <c r="E1332">
        <v>20</v>
      </c>
      <c r="F1332">
        <v>40</v>
      </c>
      <c r="G1332" t="s">
        <v>64</v>
      </c>
      <c r="H1332" t="s">
        <v>44</v>
      </c>
      <c r="I1332" s="24">
        <v>46118</v>
      </c>
      <c r="J1332" t="s">
        <v>117</v>
      </c>
      <c r="K1332" t="s">
        <v>117</v>
      </c>
      <c r="L1332" t="s">
        <v>117</v>
      </c>
      <c r="M1332">
        <v>8</v>
      </c>
      <c r="N1332">
        <v>160</v>
      </c>
      <c r="O1332">
        <v>5.7142857142857144</v>
      </c>
      <c r="P1332">
        <v>0</v>
      </c>
    </row>
    <row r="1333" spans="1:16" x14ac:dyDescent="0.45">
      <c r="A1333" t="s">
        <v>57</v>
      </c>
      <c r="B1333" t="s">
        <v>29</v>
      </c>
      <c r="C1333" t="s">
        <v>29</v>
      </c>
      <c r="D1333" t="s">
        <v>49</v>
      </c>
      <c r="E1333">
        <v>20</v>
      </c>
      <c r="F1333">
        <v>40</v>
      </c>
      <c r="G1333" t="s">
        <v>65</v>
      </c>
      <c r="H1333" t="s">
        <v>44</v>
      </c>
      <c r="I1333" s="24">
        <v>46119</v>
      </c>
      <c r="J1333" t="s">
        <v>117</v>
      </c>
      <c r="K1333" t="s">
        <v>117</v>
      </c>
      <c r="L1333" t="s">
        <v>117</v>
      </c>
      <c r="M1333">
        <v>8</v>
      </c>
      <c r="N1333">
        <v>160</v>
      </c>
      <c r="O1333">
        <v>5.7142857142857144</v>
      </c>
      <c r="P1333">
        <v>0</v>
      </c>
    </row>
    <row r="1334" spans="1:16" x14ac:dyDescent="0.45">
      <c r="A1334" t="s">
        <v>57</v>
      </c>
      <c r="B1334" t="s">
        <v>29</v>
      </c>
      <c r="C1334" t="s">
        <v>29</v>
      </c>
      <c r="D1334" t="s">
        <v>49</v>
      </c>
      <c r="E1334">
        <v>20</v>
      </c>
      <c r="F1334">
        <v>40</v>
      </c>
      <c r="G1334" t="s">
        <v>66</v>
      </c>
      <c r="H1334" t="s">
        <v>44</v>
      </c>
      <c r="I1334" s="24">
        <v>46120</v>
      </c>
      <c r="J1334" t="s">
        <v>117</v>
      </c>
      <c r="K1334" t="s">
        <v>117</v>
      </c>
      <c r="L1334" t="s">
        <v>117</v>
      </c>
      <c r="M1334">
        <v>8</v>
      </c>
      <c r="N1334">
        <v>160</v>
      </c>
      <c r="O1334">
        <v>5.7142857142857144</v>
      </c>
      <c r="P1334">
        <v>0</v>
      </c>
    </row>
    <row r="1335" spans="1:16" x14ac:dyDescent="0.45">
      <c r="A1335" t="s">
        <v>57</v>
      </c>
      <c r="B1335" t="s">
        <v>29</v>
      </c>
      <c r="C1335" t="s">
        <v>29</v>
      </c>
      <c r="D1335" t="s">
        <v>49</v>
      </c>
      <c r="E1335">
        <v>20</v>
      </c>
      <c r="F1335">
        <v>40</v>
      </c>
      <c r="G1335" t="s">
        <v>67</v>
      </c>
      <c r="H1335" t="s">
        <v>44</v>
      </c>
      <c r="I1335" s="24">
        <v>46121</v>
      </c>
      <c r="J1335" t="s">
        <v>117</v>
      </c>
      <c r="K1335" t="s">
        <v>117</v>
      </c>
      <c r="L1335" t="s">
        <v>117</v>
      </c>
      <c r="M1335">
        <v>8</v>
      </c>
      <c r="N1335">
        <v>160</v>
      </c>
      <c r="O1335">
        <v>5.7142857142857144</v>
      </c>
      <c r="P1335">
        <v>0</v>
      </c>
    </row>
    <row r="1336" spans="1:16" x14ac:dyDescent="0.45">
      <c r="A1336" t="s">
        <v>57</v>
      </c>
      <c r="B1336" t="s">
        <v>29</v>
      </c>
      <c r="C1336" t="s">
        <v>29</v>
      </c>
      <c r="D1336" t="s">
        <v>49</v>
      </c>
      <c r="E1336">
        <v>20</v>
      </c>
      <c r="F1336">
        <v>40</v>
      </c>
      <c r="G1336" t="s">
        <v>68</v>
      </c>
      <c r="H1336" t="s">
        <v>41</v>
      </c>
      <c r="I1336" s="24">
        <v>46122</v>
      </c>
      <c r="J1336" t="s">
        <v>117</v>
      </c>
      <c r="K1336" t="s">
        <v>117</v>
      </c>
      <c r="L1336" t="s">
        <v>117</v>
      </c>
      <c r="M1336">
        <v>0</v>
      </c>
      <c r="N1336">
        <v>0</v>
      </c>
      <c r="O1336">
        <v>5.7142857142857144</v>
      </c>
      <c r="P1336">
        <v>0</v>
      </c>
    </row>
    <row r="1337" spans="1:16" x14ac:dyDescent="0.45">
      <c r="A1337" t="s">
        <v>57</v>
      </c>
      <c r="B1337" t="s">
        <v>29</v>
      </c>
      <c r="C1337" t="s">
        <v>29</v>
      </c>
      <c r="D1337" t="s">
        <v>49</v>
      </c>
      <c r="E1337">
        <v>20</v>
      </c>
      <c r="F1337">
        <v>40</v>
      </c>
      <c r="G1337" t="s">
        <v>69</v>
      </c>
      <c r="H1337" t="s">
        <v>41</v>
      </c>
      <c r="I1337" s="24">
        <v>46123</v>
      </c>
      <c r="J1337" t="s">
        <v>118</v>
      </c>
      <c r="K1337" t="s">
        <v>117</v>
      </c>
      <c r="L1337" t="s">
        <v>118</v>
      </c>
      <c r="M1337">
        <v>0</v>
      </c>
      <c r="N1337">
        <v>0</v>
      </c>
      <c r="O1337">
        <v>5.7142857142857144</v>
      </c>
      <c r="P1337">
        <v>0</v>
      </c>
    </row>
    <row r="1338" spans="1:16" x14ac:dyDescent="0.45">
      <c r="A1338" t="s">
        <v>57</v>
      </c>
      <c r="B1338" t="s">
        <v>29</v>
      </c>
      <c r="C1338" t="s">
        <v>29</v>
      </c>
      <c r="D1338" t="s">
        <v>49</v>
      </c>
      <c r="E1338">
        <v>20</v>
      </c>
      <c r="F1338">
        <v>40</v>
      </c>
      <c r="G1338" t="s">
        <v>70</v>
      </c>
      <c r="H1338" t="s">
        <v>41</v>
      </c>
      <c r="I1338" s="24">
        <v>46124</v>
      </c>
      <c r="J1338" t="s">
        <v>118</v>
      </c>
      <c r="K1338" t="s">
        <v>117</v>
      </c>
      <c r="L1338" t="s">
        <v>118</v>
      </c>
      <c r="M1338">
        <v>0</v>
      </c>
      <c r="N1338">
        <v>0</v>
      </c>
      <c r="O1338">
        <v>5.7142857142857144</v>
      </c>
      <c r="P1338">
        <v>0</v>
      </c>
    </row>
    <row r="1339" spans="1:16" x14ac:dyDescent="0.45">
      <c r="A1339" t="s">
        <v>58</v>
      </c>
      <c r="B1339" t="s">
        <v>29</v>
      </c>
      <c r="C1339" t="s">
        <v>29</v>
      </c>
      <c r="D1339" t="s">
        <v>49</v>
      </c>
      <c r="E1339">
        <v>20</v>
      </c>
      <c r="F1339">
        <v>40</v>
      </c>
      <c r="G1339" t="s">
        <v>64</v>
      </c>
      <c r="H1339" t="s">
        <v>41</v>
      </c>
      <c r="I1339" s="24">
        <v>46118</v>
      </c>
      <c r="J1339" t="s">
        <v>117</v>
      </c>
      <c r="K1339" t="s">
        <v>117</v>
      </c>
      <c r="L1339" t="s">
        <v>117</v>
      </c>
      <c r="M1339">
        <v>0</v>
      </c>
      <c r="N1339">
        <v>0</v>
      </c>
      <c r="O1339">
        <v>5.7142857142857144</v>
      </c>
      <c r="P1339">
        <v>0</v>
      </c>
    </row>
    <row r="1340" spans="1:16" x14ac:dyDescent="0.45">
      <c r="A1340" t="s">
        <v>58</v>
      </c>
      <c r="B1340" t="s">
        <v>29</v>
      </c>
      <c r="C1340" t="s">
        <v>29</v>
      </c>
      <c r="D1340" t="s">
        <v>49</v>
      </c>
      <c r="E1340">
        <v>20</v>
      </c>
      <c r="F1340">
        <v>40</v>
      </c>
      <c r="G1340" t="s">
        <v>65</v>
      </c>
      <c r="H1340" t="s">
        <v>41</v>
      </c>
      <c r="I1340" s="24">
        <v>46119</v>
      </c>
      <c r="J1340" t="s">
        <v>117</v>
      </c>
      <c r="K1340" t="s">
        <v>117</v>
      </c>
      <c r="L1340" t="s">
        <v>117</v>
      </c>
      <c r="M1340">
        <v>0</v>
      </c>
      <c r="N1340">
        <v>0</v>
      </c>
      <c r="O1340">
        <v>5.7142857142857144</v>
      </c>
      <c r="P1340">
        <v>0</v>
      </c>
    </row>
    <row r="1341" spans="1:16" x14ac:dyDescent="0.45">
      <c r="A1341" t="s">
        <v>58</v>
      </c>
      <c r="B1341" t="s">
        <v>29</v>
      </c>
      <c r="C1341" t="s">
        <v>29</v>
      </c>
      <c r="D1341" t="s">
        <v>49</v>
      </c>
      <c r="E1341">
        <v>20</v>
      </c>
      <c r="F1341">
        <v>40</v>
      </c>
      <c r="G1341" t="s">
        <v>66</v>
      </c>
      <c r="H1341" t="s">
        <v>41</v>
      </c>
      <c r="I1341" s="24">
        <v>46120</v>
      </c>
      <c r="J1341" t="s">
        <v>117</v>
      </c>
      <c r="K1341" t="s">
        <v>117</v>
      </c>
      <c r="L1341" t="s">
        <v>117</v>
      </c>
      <c r="M1341">
        <v>0</v>
      </c>
      <c r="N1341">
        <v>0</v>
      </c>
      <c r="O1341">
        <v>5.7142857142857144</v>
      </c>
      <c r="P1341">
        <v>0</v>
      </c>
    </row>
    <row r="1342" spans="1:16" x14ac:dyDescent="0.45">
      <c r="A1342" t="s">
        <v>58</v>
      </c>
      <c r="B1342" t="s">
        <v>29</v>
      </c>
      <c r="C1342" t="s">
        <v>29</v>
      </c>
      <c r="D1342" t="s">
        <v>49</v>
      </c>
      <c r="E1342">
        <v>20</v>
      </c>
      <c r="F1342">
        <v>40</v>
      </c>
      <c r="G1342" t="s">
        <v>67</v>
      </c>
      <c r="H1342" t="s">
        <v>44</v>
      </c>
      <c r="I1342" s="24">
        <v>46121</v>
      </c>
      <c r="J1342" t="s">
        <v>117</v>
      </c>
      <c r="K1342" t="s">
        <v>117</v>
      </c>
      <c r="L1342" t="s">
        <v>117</v>
      </c>
      <c r="M1342">
        <v>8</v>
      </c>
      <c r="N1342">
        <v>160</v>
      </c>
      <c r="O1342">
        <v>5.7142857142857144</v>
      </c>
      <c r="P1342">
        <v>0</v>
      </c>
    </row>
    <row r="1343" spans="1:16" x14ac:dyDescent="0.45">
      <c r="A1343" t="s">
        <v>58</v>
      </c>
      <c r="B1343" t="s">
        <v>29</v>
      </c>
      <c r="C1343" t="s">
        <v>29</v>
      </c>
      <c r="D1343" t="s">
        <v>49</v>
      </c>
      <c r="E1343">
        <v>20</v>
      </c>
      <c r="F1343">
        <v>40</v>
      </c>
      <c r="G1343" t="s">
        <v>68</v>
      </c>
      <c r="H1343" t="s">
        <v>46</v>
      </c>
      <c r="I1343" s="24">
        <v>46122</v>
      </c>
      <c r="J1343" t="s">
        <v>117</v>
      </c>
      <c r="K1343" t="s">
        <v>117</v>
      </c>
      <c r="L1343" t="s">
        <v>117</v>
      </c>
      <c r="M1343">
        <v>4.9999999999999982</v>
      </c>
      <c r="N1343">
        <v>99.999999999999972</v>
      </c>
      <c r="O1343">
        <v>5.7142857142857144</v>
      </c>
      <c r="P1343">
        <v>0</v>
      </c>
    </row>
    <row r="1344" spans="1:16" x14ac:dyDescent="0.45">
      <c r="A1344" t="s">
        <v>58</v>
      </c>
      <c r="B1344" t="s">
        <v>29</v>
      </c>
      <c r="C1344" t="s">
        <v>29</v>
      </c>
      <c r="D1344" t="s">
        <v>49</v>
      </c>
      <c r="E1344">
        <v>20</v>
      </c>
      <c r="F1344">
        <v>40</v>
      </c>
      <c r="G1344" t="s">
        <v>69</v>
      </c>
      <c r="H1344" t="s">
        <v>44</v>
      </c>
      <c r="I1344" s="24">
        <v>46123</v>
      </c>
      <c r="J1344" t="s">
        <v>118</v>
      </c>
      <c r="K1344" t="s">
        <v>117</v>
      </c>
      <c r="L1344" t="s">
        <v>118</v>
      </c>
      <c r="M1344">
        <v>8</v>
      </c>
      <c r="N1344">
        <v>240</v>
      </c>
      <c r="O1344">
        <v>5.7142857142857144</v>
      </c>
      <c r="P1344">
        <v>1</v>
      </c>
    </row>
    <row r="1345" spans="1:16" x14ac:dyDescent="0.45">
      <c r="A1345" t="s">
        <v>58</v>
      </c>
      <c r="B1345" t="s">
        <v>29</v>
      </c>
      <c r="C1345" t="s">
        <v>29</v>
      </c>
      <c r="D1345" t="s">
        <v>49</v>
      </c>
      <c r="E1345">
        <v>20</v>
      </c>
      <c r="F1345">
        <v>40</v>
      </c>
      <c r="G1345" t="s">
        <v>70</v>
      </c>
      <c r="H1345" t="s">
        <v>44</v>
      </c>
      <c r="I1345" s="24">
        <v>46124</v>
      </c>
      <c r="J1345" t="s">
        <v>118</v>
      </c>
      <c r="K1345" t="s">
        <v>117</v>
      </c>
      <c r="L1345" t="s">
        <v>118</v>
      </c>
      <c r="M1345">
        <v>8</v>
      </c>
      <c r="N1345">
        <v>240</v>
      </c>
      <c r="O1345">
        <v>5.7142857142857144</v>
      </c>
      <c r="P1345">
        <v>1</v>
      </c>
    </row>
    <row r="1346" spans="1:16" x14ac:dyDescent="0.45">
      <c r="A1346" t="s">
        <v>59</v>
      </c>
      <c r="B1346" t="s">
        <v>29</v>
      </c>
      <c r="C1346" t="s">
        <v>29</v>
      </c>
      <c r="D1346" t="s">
        <v>60</v>
      </c>
      <c r="E1346">
        <v>15</v>
      </c>
      <c r="F1346">
        <v>20</v>
      </c>
      <c r="G1346" t="s">
        <v>64</v>
      </c>
      <c r="H1346" t="s">
        <v>41</v>
      </c>
      <c r="I1346" s="24">
        <v>46118</v>
      </c>
      <c r="J1346" t="s">
        <v>117</v>
      </c>
      <c r="K1346" t="s">
        <v>117</v>
      </c>
      <c r="L1346" t="s">
        <v>117</v>
      </c>
      <c r="M1346">
        <v>0</v>
      </c>
      <c r="N1346">
        <v>0</v>
      </c>
      <c r="O1346">
        <v>2.8571428571428572</v>
      </c>
      <c r="P1346">
        <v>0</v>
      </c>
    </row>
    <row r="1347" spans="1:16" x14ac:dyDescent="0.45">
      <c r="A1347" t="s">
        <v>59</v>
      </c>
      <c r="B1347" t="s">
        <v>29</v>
      </c>
      <c r="C1347" t="s">
        <v>29</v>
      </c>
      <c r="D1347" t="s">
        <v>60</v>
      </c>
      <c r="E1347">
        <v>15</v>
      </c>
      <c r="F1347">
        <v>20</v>
      </c>
      <c r="G1347" t="s">
        <v>65</v>
      </c>
      <c r="H1347" t="s">
        <v>46</v>
      </c>
      <c r="I1347" s="24">
        <v>46119</v>
      </c>
      <c r="J1347" t="s">
        <v>117</v>
      </c>
      <c r="K1347" t="s">
        <v>117</v>
      </c>
      <c r="L1347" t="s">
        <v>117</v>
      </c>
      <c r="M1347">
        <v>4.9999999999999982</v>
      </c>
      <c r="N1347">
        <v>74.999999999999972</v>
      </c>
      <c r="O1347">
        <v>2.8571428571428572</v>
      </c>
      <c r="P1347">
        <v>0</v>
      </c>
    </row>
    <row r="1348" spans="1:16" x14ac:dyDescent="0.45">
      <c r="A1348" t="s">
        <v>59</v>
      </c>
      <c r="B1348" t="s">
        <v>29</v>
      </c>
      <c r="C1348" t="s">
        <v>29</v>
      </c>
      <c r="D1348" t="s">
        <v>60</v>
      </c>
      <c r="E1348">
        <v>15</v>
      </c>
      <c r="F1348">
        <v>20</v>
      </c>
      <c r="G1348" t="s">
        <v>66</v>
      </c>
      <c r="H1348" t="s">
        <v>46</v>
      </c>
      <c r="I1348" s="24">
        <v>46120</v>
      </c>
      <c r="J1348" t="s">
        <v>117</v>
      </c>
      <c r="K1348" t="s">
        <v>117</v>
      </c>
      <c r="L1348" t="s">
        <v>117</v>
      </c>
      <c r="M1348">
        <v>4.9999999999999982</v>
      </c>
      <c r="N1348">
        <v>74.999999999999972</v>
      </c>
      <c r="O1348">
        <v>2.8571428571428572</v>
      </c>
      <c r="P1348">
        <v>0</v>
      </c>
    </row>
    <row r="1349" spans="1:16" x14ac:dyDescent="0.45">
      <c r="A1349" t="s">
        <v>59</v>
      </c>
      <c r="B1349" t="s">
        <v>29</v>
      </c>
      <c r="C1349" t="s">
        <v>29</v>
      </c>
      <c r="D1349" t="s">
        <v>60</v>
      </c>
      <c r="E1349">
        <v>15</v>
      </c>
      <c r="F1349">
        <v>20</v>
      </c>
      <c r="G1349" t="s">
        <v>67</v>
      </c>
      <c r="H1349" t="s">
        <v>46</v>
      </c>
      <c r="I1349" s="24">
        <v>46121</v>
      </c>
      <c r="J1349" t="s">
        <v>117</v>
      </c>
      <c r="K1349" t="s">
        <v>117</v>
      </c>
      <c r="L1349" t="s">
        <v>117</v>
      </c>
      <c r="M1349">
        <v>4.9999999999999982</v>
      </c>
      <c r="N1349">
        <v>74.999999999999972</v>
      </c>
      <c r="O1349">
        <v>2.8571428571428572</v>
      </c>
      <c r="P1349">
        <v>0</v>
      </c>
    </row>
    <row r="1350" spans="1:16" x14ac:dyDescent="0.45">
      <c r="A1350" t="s">
        <v>59</v>
      </c>
      <c r="B1350" t="s">
        <v>29</v>
      </c>
      <c r="C1350" t="s">
        <v>29</v>
      </c>
      <c r="D1350" t="s">
        <v>60</v>
      </c>
      <c r="E1350">
        <v>15</v>
      </c>
      <c r="F1350">
        <v>20</v>
      </c>
      <c r="G1350" t="s">
        <v>68</v>
      </c>
      <c r="H1350" t="s">
        <v>46</v>
      </c>
      <c r="I1350" s="24">
        <v>46122</v>
      </c>
      <c r="J1350" t="s">
        <v>117</v>
      </c>
      <c r="K1350" t="s">
        <v>117</v>
      </c>
      <c r="L1350" t="s">
        <v>117</v>
      </c>
      <c r="M1350">
        <v>4.9999999999999982</v>
      </c>
      <c r="N1350">
        <v>74.999999999999972</v>
      </c>
      <c r="O1350">
        <v>2.8571428571428572</v>
      </c>
      <c r="P1350">
        <v>0</v>
      </c>
    </row>
    <row r="1351" spans="1:16" x14ac:dyDescent="0.45">
      <c r="A1351" t="s">
        <v>59</v>
      </c>
      <c r="B1351" t="s">
        <v>29</v>
      </c>
      <c r="C1351" t="s">
        <v>29</v>
      </c>
      <c r="D1351" t="s">
        <v>60</v>
      </c>
      <c r="E1351">
        <v>15</v>
      </c>
      <c r="F1351">
        <v>20</v>
      </c>
      <c r="G1351" t="s">
        <v>69</v>
      </c>
      <c r="H1351" t="s">
        <v>41</v>
      </c>
      <c r="I1351" s="24">
        <v>46123</v>
      </c>
      <c r="J1351" t="s">
        <v>118</v>
      </c>
      <c r="K1351" t="s">
        <v>117</v>
      </c>
      <c r="L1351" t="s">
        <v>118</v>
      </c>
      <c r="M1351">
        <v>0</v>
      </c>
      <c r="N1351">
        <v>0</v>
      </c>
      <c r="O1351">
        <v>2.8571428571428572</v>
      </c>
      <c r="P1351">
        <v>0</v>
      </c>
    </row>
    <row r="1352" spans="1:16" x14ac:dyDescent="0.45">
      <c r="A1352" t="s">
        <v>59</v>
      </c>
      <c r="B1352" t="s">
        <v>29</v>
      </c>
      <c r="C1352" t="s">
        <v>29</v>
      </c>
      <c r="D1352" t="s">
        <v>60</v>
      </c>
      <c r="E1352">
        <v>15</v>
      </c>
      <c r="F1352">
        <v>20</v>
      </c>
      <c r="G1352" t="s">
        <v>70</v>
      </c>
      <c r="H1352" t="s">
        <v>41</v>
      </c>
      <c r="I1352" s="24">
        <v>46124</v>
      </c>
      <c r="J1352" t="s">
        <v>118</v>
      </c>
      <c r="K1352" t="s">
        <v>117</v>
      </c>
      <c r="L1352" t="s">
        <v>118</v>
      </c>
      <c r="M1352">
        <v>0</v>
      </c>
      <c r="N1352">
        <v>0</v>
      </c>
      <c r="O1352">
        <v>2.8571428571428572</v>
      </c>
      <c r="P1352">
        <v>0</v>
      </c>
    </row>
    <row r="1353" spans="1:16" x14ac:dyDescent="0.45">
      <c r="A1353" t="s">
        <v>61</v>
      </c>
      <c r="B1353" t="s">
        <v>29</v>
      </c>
      <c r="C1353" t="s">
        <v>29</v>
      </c>
      <c r="D1353" t="s">
        <v>60</v>
      </c>
      <c r="E1353">
        <v>15</v>
      </c>
      <c r="F1353">
        <v>20</v>
      </c>
      <c r="G1353" t="s">
        <v>64</v>
      </c>
      <c r="H1353" t="s">
        <v>46</v>
      </c>
      <c r="I1353" s="24">
        <v>46118</v>
      </c>
      <c r="J1353" t="s">
        <v>117</v>
      </c>
      <c r="K1353" t="s">
        <v>117</v>
      </c>
      <c r="L1353" t="s">
        <v>117</v>
      </c>
      <c r="M1353">
        <v>4.9999999999999982</v>
      </c>
      <c r="N1353">
        <v>74.999999999999972</v>
      </c>
      <c r="O1353">
        <v>2.8571428571428572</v>
      </c>
      <c r="P1353">
        <v>0</v>
      </c>
    </row>
    <row r="1354" spans="1:16" x14ac:dyDescent="0.45">
      <c r="A1354" t="s">
        <v>61</v>
      </c>
      <c r="B1354" t="s">
        <v>29</v>
      </c>
      <c r="C1354" t="s">
        <v>29</v>
      </c>
      <c r="D1354" t="s">
        <v>60</v>
      </c>
      <c r="E1354">
        <v>15</v>
      </c>
      <c r="F1354">
        <v>20</v>
      </c>
      <c r="G1354" t="s">
        <v>65</v>
      </c>
      <c r="H1354" t="s">
        <v>40</v>
      </c>
      <c r="I1354" s="24">
        <v>46119</v>
      </c>
      <c r="J1354" t="s">
        <v>117</v>
      </c>
      <c r="K1354" t="s">
        <v>117</v>
      </c>
      <c r="L1354" t="s">
        <v>117</v>
      </c>
      <c r="M1354">
        <v>5</v>
      </c>
      <c r="N1354">
        <v>75</v>
      </c>
      <c r="O1354">
        <v>2.8571428571428572</v>
      </c>
      <c r="P1354">
        <v>0</v>
      </c>
    </row>
    <row r="1355" spans="1:16" x14ac:dyDescent="0.45">
      <c r="A1355" t="s">
        <v>61</v>
      </c>
      <c r="B1355" t="s">
        <v>29</v>
      </c>
      <c r="C1355" t="s">
        <v>29</v>
      </c>
      <c r="D1355" t="s">
        <v>60</v>
      </c>
      <c r="E1355">
        <v>15</v>
      </c>
      <c r="F1355">
        <v>20</v>
      </c>
      <c r="G1355" t="s">
        <v>66</v>
      </c>
      <c r="H1355" t="s">
        <v>39</v>
      </c>
      <c r="I1355" s="24">
        <v>46120</v>
      </c>
      <c r="J1355" t="s">
        <v>117</v>
      </c>
      <c r="K1355" t="s">
        <v>117</v>
      </c>
      <c r="L1355" t="s">
        <v>117</v>
      </c>
      <c r="M1355">
        <v>4.9999999999999982</v>
      </c>
      <c r="N1355">
        <v>74.999999999999972</v>
      </c>
      <c r="O1355">
        <v>2.8571428571428572</v>
      </c>
      <c r="P1355">
        <v>0</v>
      </c>
    </row>
    <row r="1356" spans="1:16" x14ac:dyDescent="0.45">
      <c r="A1356" t="s">
        <v>61</v>
      </c>
      <c r="B1356" t="s">
        <v>29</v>
      </c>
      <c r="C1356" t="s">
        <v>29</v>
      </c>
      <c r="D1356" t="s">
        <v>60</v>
      </c>
      <c r="E1356">
        <v>15</v>
      </c>
      <c r="F1356">
        <v>20</v>
      </c>
      <c r="G1356" t="s">
        <v>67</v>
      </c>
      <c r="H1356" t="s">
        <v>41</v>
      </c>
      <c r="I1356" s="24">
        <v>46121</v>
      </c>
      <c r="J1356" t="s">
        <v>117</v>
      </c>
      <c r="K1356" t="s">
        <v>117</v>
      </c>
      <c r="L1356" t="s">
        <v>117</v>
      </c>
      <c r="M1356">
        <v>0</v>
      </c>
      <c r="N1356">
        <v>0</v>
      </c>
      <c r="O1356">
        <v>2.8571428571428572</v>
      </c>
      <c r="P1356">
        <v>0</v>
      </c>
    </row>
    <row r="1357" spans="1:16" x14ac:dyDescent="0.45">
      <c r="A1357" t="s">
        <v>61</v>
      </c>
      <c r="B1357" t="s">
        <v>29</v>
      </c>
      <c r="C1357" t="s">
        <v>29</v>
      </c>
      <c r="D1357" t="s">
        <v>60</v>
      </c>
      <c r="E1357">
        <v>15</v>
      </c>
      <c r="F1357">
        <v>20</v>
      </c>
      <c r="G1357" t="s">
        <v>68</v>
      </c>
      <c r="H1357" t="s">
        <v>46</v>
      </c>
      <c r="I1357" s="24">
        <v>46122</v>
      </c>
      <c r="J1357" t="s">
        <v>117</v>
      </c>
      <c r="K1357" t="s">
        <v>117</v>
      </c>
      <c r="L1357" t="s">
        <v>117</v>
      </c>
      <c r="M1357">
        <v>4.9999999999999982</v>
      </c>
      <c r="N1357">
        <v>74.999999999999972</v>
      </c>
      <c r="O1357">
        <v>2.8571428571428572</v>
      </c>
      <c r="P1357">
        <v>0</v>
      </c>
    </row>
    <row r="1358" spans="1:16" x14ac:dyDescent="0.45">
      <c r="A1358" t="s">
        <v>61</v>
      </c>
      <c r="B1358" t="s">
        <v>29</v>
      </c>
      <c r="C1358" t="s">
        <v>29</v>
      </c>
      <c r="D1358" t="s">
        <v>60</v>
      </c>
      <c r="E1358">
        <v>15</v>
      </c>
      <c r="F1358">
        <v>20</v>
      </c>
      <c r="G1358" t="s">
        <v>69</v>
      </c>
      <c r="H1358" t="s">
        <v>41</v>
      </c>
      <c r="I1358" s="24">
        <v>46123</v>
      </c>
      <c r="J1358" t="s">
        <v>118</v>
      </c>
      <c r="K1358" t="s">
        <v>117</v>
      </c>
      <c r="L1358" t="s">
        <v>118</v>
      </c>
      <c r="M1358">
        <v>0</v>
      </c>
      <c r="N1358">
        <v>0</v>
      </c>
      <c r="O1358">
        <v>2.8571428571428572</v>
      </c>
      <c r="P1358">
        <v>0</v>
      </c>
    </row>
    <row r="1359" spans="1:16" x14ac:dyDescent="0.45">
      <c r="A1359" t="s">
        <v>61</v>
      </c>
      <c r="B1359" t="s">
        <v>29</v>
      </c>
      <c r="C1359" t="s">
        <v>29</v>
      </c>
      <c r="D1359" t="s">
        <v>60</v>
      </c>
      <c r="E1359">
        <v>15</v>
      </c>
      <c r="F1359">
        <v>20</v>
      </c>
      <c r="G1359" t="s">
        <v>70</v>
      </c>
      <c r="H1359" t="s">
        <v>41</v>
      </c>
      <c r="I1359" s="24">
        <v>46124</v>
      </c>
      <c r="J1359" t="s">
        <v>118</v>
      </c>
      <c r="K1359" t="s">
        <v>117</v>
      </c>
      <c r="L1359" t="s">
        <v>118</v>
      </c>
      <c r="M1359">
        <v>0</v>
      </c>
      <c r="N1359">
        <v>0</v>
      </c>
      <c r="O1359">
        <v>2.8571428571428572</v>
      </c>
      <c r="P1359">
        <v>0</v>
      </c>
    </row>
    <row r="1360" spans="1:16" x14ac:dyDescent="0.45">
      <c r="A1360" t="s">
        <v>62</v>
      </c>
      <c r="B1360" t="s">
        <v>29</v>
      </c>
      <c r="C1360" t="s">
        <v>29</v>
      </c>
      <c r="D1360" t="s">
        <v>60</v>
      </c>
      <c r="E1360">
        <v>15</v>
      </c>
      <c r="F1360">
        <v>20</v>
      </c>
      <c r="G1360" t="s">
        <v>64</v>
      </c>
      <c r="H1360" t="s">
        <v>40</v>
      </c>
      <c r="I1360" s="24">
        <v>46118</v>
      </c>
      <c r="J1360" t="s">
        <v>117</v>
      </c>
      <c r="K1360" t="s">
        <v>117</v>
      </c>
      <c r="L1360" t="s">
        <v>117</v>
      </c>
      <c r="M1360">
        <v>5</v>
      </c>
      <c r="N1360">
        <v>75</v>
      </c>
      <c r="O1360">
        <v>2.8571428571428572</v>
      </c>
      <c r="P1360">
        <v>0</v>
      </c>
    </row>
    <row r="1361" spans="1:16" x14ac:dyDescent="0.45">
      <c r="A1361" t="s">
        <v>62</v>
      </c>
      <c r="B1361" t="s">
        <v>29</v>
      </c>
      <c r="C1361" t="s">
        <v>29</v>
      </c>
      <c r="D1361" t="s">
        <v>60</v>
      </c>
      <c r="E1361">
        <v>15</v>
      </c>
      <c r="F1361">
        <v>20</v>
      </c>
      <c r="G1361" t="s">
        <v>65</v>
      </c>
      <c r="H1361" t="s">
        <v>40</v>
      </c>
      <c r="I1361" s="24">
        <v>46119</v>
      </c>
      <c r="J1361" t="s">
        <v>117</v>
      </c>
      <c r="K1361" t="s">
        <v>117</v>
      </c>
      <c r="L1361" t="s">
        <v>117</v>
      </c>
      <c r="M1361">
        <v>5</v>
      </c>
      <c r="N1361">
        <v>75</v>
      </c>
      <c r="O1361">
        <v>2.8571428571428572</v>
      </c>
      <c r="P1361">
        <v>0</v>
      </c>
    </row>
    <row r="1362" spans="1:16" x14ac:dyDescent="0.45">
      <c r="A1362" t="s">
        <v>62</v>
      </c>
      <c r="B1362" t="s">
        <v>29</v>
      </c>
      <c r="C1362" t="s">
        <v>29</v>
      </c>
      <c r="D1362" t="s">
        <v>60</v>
      </c>
      <c r="E1362">
        <v>15</v>
      </c>
      <c r="F1362">
        <v>20</v>
      </c>
      <c r="G1362" t="s">
        <v>66</v>
      </c>
      <c r="H1362" t="s">
        <v>41</v>
      </c>
      <c r="I1362" s="24">
        <v>46120</v>
      </c>
      <c r="J1362" t="s">
        <v>117</v>
      </c>
      <c r="K1362" t="s">
        <v>117</v>
      </c>
      <c r="L1362" t="s">
        <v>117</v>
      </c>
      <c r="M1362">
        <v>0</v>
      </c>
      <c r="N1362">
        <v>0</v>
      </c>
      <c r="O1362">
        <v>2.8571428571428572</v>
      </c>
      <c r="P1362">
        <v>0</v>
      </c>
    </row>
    <row r="1363" spans="1:16" x14ac:dyDescent="0.45">
      <c r="A1363" t="s">
        <v>62</v>
      </c>
      <c r="B1363" t="s">
        <v>29</v>
      </c>
      <c r="C1363" t="s">
        <v>29</v>
      </c>
      <c r="D1363" t="s">
        <v>60</v>
      </c>
      <c r="E1363">
        <v>15</v>
      </c>
      <c r="F1363">
        <v>20</v>
      </c>
      <c r="G1363" t="s">
        <v>67</v>
      </c>
      <c r="H1363" t="s">
        <v>41</v>
      </c>
      <c r="I1363" s="24">
        <v>46121</v>
      </c>
      <c r="J1363" t="s">
        <v>117</v>
      </c>
      <c r="K1363" t="s">
        <v>117</v>
      </c>
      <c r="L1363" t="s">
        <v>117</v>
      </c>
      <c r="M1363">
        <v>0</v>
      </c>
      <c r="N1363">
        <v>0</v>
      </c>
      <c r="O1363">
        <v>2.8571428571428572</v>
      </c>
      <c r="P1363">
        <v>0</v>
      </c>
    </row>
    <row r="1364" spans="1:16" x14ac:dyDescent="0.45">
      <c r="A1364" t="s">
        <v>62</v>
      </c>
      <c r="B1364" t="s">
        <v>29</v>
      </c>
      <c r="C1364" t="s">
        <v>29</v>
      </c>
      <c r="D1364" t="s">
        <v>60</v>
      </c>
      <c r="E1364">
        <v>15</v>
      </c>
      <c r="F1364">
        <v>20</v>
      </c>
      <c r="G1364" t="s">
        <v>68</v>
      </c>
      <c r="H1364" t="s">
        <v>39</v>
      </c>
      <c r="I1364" s="24">
        <v>46122</v>
      </c>
      <c r="J1364" t="s">
        <v>117</v>
      </c>
      <c r="K1364" t="s">
        <v>117</v>
      </c>
      <c r="L1364" t="s">
        <v>117</v>
      </c>
      <c r="M1364">
        <v>4.9999999999999982</v>
      </c>
      <c r="N1364">
        <v>74.999999999999972</v>
      </c>
      <c r="O1364">
        <v>2.8571428571428572</v>
      </c>
      <c r="P1364">
        <v>0</v>
      </c>
    </row>
    <row r="1365" spans="1:16" x14ac:dyDescent="0.45">
      <c r="A1365" t="s">
        <v>62</v>
      </c>
      <c r="B1365" t="s">
        <v>29</v>
      </c>
      <c r="C1365" t="s">
        <v>29</v>
      </c>
      <c r="D1365" t="s">
        <v>60</v>
      </c>
      <c r="E1365">
        <v>15</v>
      </c>
      <c r="F1365">
        <v>20</v>
      </c>
      <c r="G1365" t="s">
        <v>69</v>
      </c>
      <c r="H1365" t="s">
        <v>40</v>
      </c>
      <c r="I1365" s="24">
        <v>46123</v>
      </c>
      <c r="J1365" t="s">
        <v>118</v>
      </c>
      <c r="K1365" t="s">
        <v>117</v>
      </c>
      <c r="L1365" t="s">
        <v>118</v>
      </c>
      <c r="M1365">
        <v>5</v>
      </c>
      <c r="N1365">
        <v>112.5</v>
      </c>
      <c r="O1365">
        <v>2.8571428571428572</v>
      </c>
      <c r="P1365">
        <v>1</v>
      </c>
    </row>
    <row r="1366" spans="1:16" x14ac:dyDescent="0.45">
      <c r="A1366" t="s">
        <v>62</v>
      </c>
      <c r="B1366" t="s">
        <v>29</v>
      </c>
      <c r="C1366" t="s">
        <v>29</v>
      </c>
      <c r="D1366" t="s">
        <v>60</v>
      </c>
      <c r="E1366">
        <v>15</v>
      </c>
      <c r="F1366">
        <v>20</v>
      </c>
      <c r="G1366" t="s">
        <v>70</v>
      </c>
      <c r="H1366" t="s">
        <v>46</v>
      </c>
      <c r="I1366" s="24">
        <v>46124</v>
      </c>
      <c r="J1366" t="s">
        <v>118</v>
      </c>
      <c r="K1366" t="s">
        <v>117</v>
      </c>
      <c r="L1366" t="s">
        <v>118</v>
      </c>
      <c r="M1366">
        <v>4.9999999999999982</v>
      </c>
      <c r="N1366">
        <v>112.49999999999996</v>
      </c>
      <c r="O1366">
        <v>2.8571428571428572</v>
      </c>
      <c r="P1366">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C549B-A313-4C49-B5F4-85CB56CCC63A}">
  <sheetPr codeName="SheetPivot"/>
  <dimension ref="B2:W144"/>
  <sheetViews>
    <sheetView showGridLines="0" topLeftCell="I37" zoomScale="85" zoomScaleNormal="85" workbookViewId="0">
      <selection activeCell="N61" sqref="N61"/>
    </sheetView>
  </sheetViews>
  <sheetFormatPr defaultRowHeight="14.25" x14ac:dyDescent="0.45"/>
  <cols>
    <col min="1" max="1" width="3.3984375" customWidth="1"/>
    <col min="2" max="2" width="22.6640625" bestFit="1" customWidth="1"/>
    <col min="3" max="3" width="14.796875" bestFit="1" customWidth="1"/>
    <col min="4" max="4" width="11.796875" bestFit="1" customWidth="1"/>
    <col min="5" max="5" width="13.33203125" bestFit="1" customWidth="1"/>
    <col min="6" max="7" width="6.1328125" customWidth="1"/>
    <col min="8" max="8" width="18.46484375" bestFit="1" customWidth="1"/>
    <col min="9" max="9" width="17.3984375" customWidth="1"/>
    <col min="10" max="10" width="23.265625" bestFit="1" customWidth="1"/>
    <col min="13" max="13" width="26.73046875" bestFit="1" customWidth="1"/>
    <col min="14" max="14" width="19.59765625" bestFit="1" customWidth="1"/>
    <col min="15" max="15" width="8.265625" bestFit="1" customWidth="1"/>
    <col min="16" max="16" width="13.1328125" bestFit="1" customWidth="1"/>
    <col min="19" max="19" width="21" bestFit="1" customWidth="1"/>
    <col min="23" max="23" width="10.265625" bestFit="1" customWidth="1"/>
  </cols>
  <sheetData>
    <row r="2" spans="2:5" ht="17.649999999999999" thickBot="1" x14ac:dyDescent="0.6">
      <c r="B2" s="5" t="s">
        <v>131</v>
      </c>
      <c r="C2" s="5"/>
      <c r="D2" s="5"/>
      <c r="E2" s="5"/>
    </row>
    <row r="3" spans="2:5" ht="14.65" thickTop="1" x14ac:dyDescent="0.45"/>
    <row r="4" spans="2:5" x14ac:dyDescent="0.45">
      <c r="B4" s="54" t="s">
        <v>132</v>
      </c>
      <c r="C4" s="55"/>
      <c r="D4" s="55"/>
      <c r="E4" s="56"/>
    </row>
    <row r="5" spans="2:5" x14ac:dyDescent="0.45">
      <c r="B5" s="57"/>
      <c r="C5" s="58"/>
      <c r="D5" s="58"/>
      <c r="E5" s="59"/>
    </row>
    <row r="7" spans="2:5" x14ac:dyDescent="0.45">
      <c r="C7" s="35" t="s">
        <v>138</v>
      </c>
    </row>
    <row r="8" spans="2:5" x14ac:dyDescent="0.45">
      <c r="B8" s="35" t="s">
        <v>135</v>
      </c>
      <c r="C8" t="s">
        <v>117</v>
      </c>
      <c r="D8" t="s">
        <v>118</v>
      </c>
      <c r="E8" t="s">
        <v>120</v>
      </c>
    </row>
    <row r="9" spans="2:5" x14ac:dyDescent="0.45">
      <c r="B9" s="36" t="s">
        <v>133</v>
      </c>
      <c r="C9" s="67">
        <v>13</v>
      </c>
      <c r="D9" s="67">
        <v>13</v>
      </c>
      <c r="E9" s="67">
        <v>13</v>
      </c>
    </row>
    <row r="10" spans="2:5" x14ac:dyDescent="0.45">
      <c r="B10" s="36" t="s">
        <v>136</v>
      </c>
      <c r="C10" s="44">
        <v>100058</v>
      </c>
      <c r="D10" s="44">
        <v>65386</v>
      </c>
      <c r="E10" s="44">
        <v>165444</v>
      </c>
    </row>
    <row r="11" spans="2:5" x14ac:dyDescent="0.45">
      <c r="B11" s="36" t="s">
        <v>137</v>
      </c>
      <c r="C11" s="44">
        <v>24.754576942107867</v>
      </c>
      <c r="D11" s="44">
        <v>37.599769982748704</v>
      </c>
      <c r="E11" s="44">
        <v>28.618578100674625</v>
      </c>
    </row>
    <row r="18" spans="2:10" ht="17.649999999999999" thickBot="1" x14ac:dyDescent="0.6">
      <c r="B18" s="5" t="s">
        <v>139</v>
      </c>
      <c r="C18" s="5"/>
      <c r="D18" s="5"/>
      <c r="E18" s="5"/>
      <c r="H18" s="5" t="s">
        <v>141</v>
      </c>
      <c r="I18" s="47"/>
      <c r="J18" s="47"/>
    </row>
    <row r="19" spans="2:10" ht="14.65" thickTop="1" x14ac:dyDescent="0.45">
      <c r="I19" s="48"/>
      <c r="J19" s="48"/>
    </row>
    <row r="20" spans="2:10" x14ac:dyDescent="0.45">
      <c r="B20" s="53" t="s">
        <v>140</v>
      </c>
      <c r="C20" s="53"/>
      <c r="D20" s="53"/>
      <c r="E20" s="53"/>
      <c r="H20" s="53" t="s">
        <v>142</v>
      </c>
      <c r="I20" s="53"/>
      <c r="J20" s="53"/>
    </row>
    <row r="21" spans="2:10" x14ac:dyDescent="0.45">
      <c r="B21" s="53"/>
      <c r="C21" s="53"/>
      <c r="D21" s="53"/>
      <c r="E21" s="53"/>
      <c r="H21" s="53"/>
      <c r="I21" s="53"/>
      <c r="J21" s="53"/>
    </row>
    <row r="23" spans="2:10" x14ac:dyDescent="0.45">
      <c r="B23" s="35" t="s">
        <v>134</v>
      </c>
      <c r="C23" s="35" t="s">
        <v>138</v>
      </c>
      <c r="H23" s="35" t="s">
        <v>119</v>
      </c>
      <c r="I23" t="s">
        <v>136</v>
      </c>
      <c r="J23" t="s">
        <v>133</v>
      </c>
    </row>
    <row r="24" spans="2:10" x14ac:dyDescent="0.45">
      <c r="B24" s="35" t="s">
        <v>119</v>
      </c>
      <c r="C24" t="s">
        <v>26</v>
      </c>
      <c r="D24" t="s">
        <v>28</v>
      </c>
      <c r="E24" t="s">
        <v>29</v>
      </c>
      <c r="H24" s="36" t="s">
        <v>26</v>
      </c>
      <c r="I24" s="46">
        <v>0.41599574478373347</v>
      </c>
      <c r="J24" s="45">
        <v>4</v>
      </c>
    </row>
    <row r="25" spans="2:10" x14ac:dyDescent="0.45">
      <c r="B25" s="36" t="s">
        <v>64</v>
      </c>
      <c r="C25" s="46">
        <v>0.375</v>
      </c>
      <c r="D25" s="46">
        <v>0.21875</v>
      </c>
      <c r="E25" s="46">
        <v>0.40625</v>
      </c>
      <c r="H25" s="36" t="s">
        <v>28</v>
      </c>
      <c r="I25" s="46">
        <v>0.28474891806290953</v>
      </c>
      <c r="J25" s="45">
        <v>3</v>
      </c>
    </row>
    <row r="26" spans="2:10" x14ac:dyDescent="0.45">
      <c r="B26" s="36" t="s">
        <v>65</v>
      </c>
      <c r="C26" s="46">
        <v>0.33476394849785407</v>
      </c>
      <c r="D26" s="46">
        <v>0.23819742489270387</v>
      </c>
      <c r="E26" s="46">
        <v>0.42703862660944208</v>
      </c>
      <c r="H26" s="36" t="s">
        <v>29</v>
      </c>
      <c r="I26" s="46">
        <v>0.299255337153357</v>
      </c>
      <c r="J26" s="45">
        <v>6</v>
      </c>
    </row>
    <row r="27" spans="2:10" x14ac:dyDescent="0.45">
      <c r="B27" s="36" t="s">
        <v>66</v>
      </c>
      <c r="C27" s="46">
        <v>0.39344262295081966</v>
      </c>
      <c r="D27" s="46">
        <v>0.20428751576292559</v>
      </c>
      <c r="E27" s="46">
        <v>0.40226986128625475</v>
      </c>
    </row>
    <row r="28" spans="2:10" x14ac:dyDescent="0.45">
      <c r="B28" s="36" t="s">
        <v>67</v>
      </c>
      <c r="C28" s="46">
        <v>0.38341968911917096</v>
      </c>
      <c r="D28" s="46">
        <v>0.25388601036269431</v>
      </c>
      <c r="E28" s="46">
        <v>0.36269430051813473</v>
      </c>
    </row>
    <row r="29" spans="2:10" x14ac:dyDescent="0.45">
      <c r="B29" s="36" t="s">
        <v>68</v>
      </c>
      <c r="C29" s="46">
        <v>0.27645788336933047</v>
      </c>
      <c r="D29" s="46">
        <v>0.30237580993520519</v>
      </c>
      <c r="E29" s="46">
        <v>0.42116630669546434</v>
      </c>
    </row>
    <row r="30" spans="2:10" x14ac:dyDescent="0.45">
      <c r="B30" s="36" t="s">
        <v>69</v>
      </c>
      <c r="C30" s="46">
        <v>0.28247162673392184</v>
      </c>
      <c r="D30" s="46">
        <v>0.32156368221941994</v>
      </c>
      <c r="E30" s="46">
        <v>0.39596469104665827</v>
      </c>
    </row>
    <row r="31" spans="2:10" x14ac:dyDescent="0.45">
      <c r="B31" s="36" t="s">
        <v>70</v>
      </c>
      <c r="C31" s="46">
        <v>0.30559345156889495</v>
      </c>
      <c r="D31" s="46">
        <v>0.286493860845839</v>
      </c>
      <c r="E31" s="46">
        <v>0.40791268758526605</v>
      </c>
    </row>
    <row r="39" spans="2:23" ht="17.649999999999999" thickBot="1" x14ac:dyDescent="0.6">
      <c r="B39" s="5" t="s">
        <v>143</v>
      </c>
      <c r="C39" s="5"/>
      <c r="D39" s="5"/>
      <c r="E39" s="5"/>
      <c r="H39" s="5" t="s">
        <v>147</v>
      </c>
      <c r="I39" s="5"/>
      <c r="J39" s="5"/>
      <c r="M39" s="5" t="s">
        <v>151</v>
      </c>
      <c r="N39" s="5"/>
      <c r="O39" s="5"/>
      <c r="P39" s="5"/>
      <c r="S39" s="5" t="s">
        <v>153</v>
      </c>
      <c r="T39" s="5"/>
      <c r="U39" s="5"/>
      <c r="V39" s="5"/>
      <c r="W39" s="5"/>
    </row>
    <row r="40" spans="2:23" ht="14.65" thickTop="1" x14ac:dyDescent="0.45"/>
    <row r="41" spans="2:23" ht="14.25" customHeight="1" x14ac:dyDescent="0.45">
      <c r="B41" s="53" t="s">
        <v>144</v>
      </c>
      <c r="C41" s="53"/>
      <c r="D41" s="53"/>
      <c r="E41" s="53"/>
      <c r="H41" s="66" t="s">
        <v>148</v>
      </c>
      <c r="I41" s="66"/>
      <c r="J41" s="66"/>
      <c r="M41" s="66" t="s">
        <v>152</v>
      </c>
      <c r="N41" s="66"/>
      <c r="O41" s="66"/>
      <c r="P41" s="66"/>
      <c r="S41" s="60" t="s">
        <v>154</v>
      </c>
      <c r="T41" s="61"/>
      <c r="U41" s="61"/>
      <c r="V41" s="61"/>
      <c r="W41" s="62"/>
    </row>
    <row r="42" spans="2:23" x14ac:dyDescent="0.45">
      <c r="B42" s="53"/>
      <c r="C42" s="53"/>
      <c r="D42" s="53"/>
      <c r="E42" s="53"/>
      <c r="H42" s="66"/>
      <c r="I42" s="66"/>
      <c r="J42" s="66"/>
      <c r="M42" s="66"/>
      <c r="N42" s="66"/>
      <c r="O42" s="66"/>
      <c r="P42" s="66"/>
      <c r="S42" s="63"/>
      <c r="T42" s="64"/>
      <c r="U42" s="64"/>
      <c r="V42" s="64"/>
      <c r="W42" s="65"/>
    </row>
    <row r="44" spans="2:23" x14ac:dyDescent="0.45">
      <c r="B44" s="35" t="s">
        <v>119</v>
      </c>
      <c r="C44" t="s">
        <v>18</v>
      </c>
      <c r="D44" t="s">
        <v>145</v>
      </c>
      <c r="E44" t="s">
        <v>146</v>
      </c>
      <c r="H44" s="35" t="s">
        <v>119</v>
      </c>
      <c r="I44" t="s">
        <v>149</v>
      </c>
      <c r="J44" t="s">
        <v>150</v>
      </c>
      <c r="M44" s="35" t="s">
        <v>119</v>
      </c>
      <c r="N44" t="s">
        <v>157</v>
      </c>
      <c r="O44" t="s">
        <v>158</v>
      </c>
      <c r="P44" t="s">
        <v>159</v>
      </c>
      <c r="S44" s="35" t="s">
        <v>136</v>
      </c>
      <c r="T44" s="35" t="s">
        <v>138</v>
      </c>
    </row>
    <row r="45" spans="2:23" x14ac:dyDescent="0.45">
      <c r="B45" s="36" t="s">
        <v>26</v>
      </c>
      <c r="C45" s="67"/>
      <c r="D45" s="67"/>
      <c r="E45" s="67"/>
      <c r="H45" s="36" t="s">
        <v>26</v>
      </c>
      <c r="I45" s="46"/>
      <c r="J45" s="46"/>
      <c r="M45" s="36" t="s">
        <v>26</v>
      </c>
      <c r="N45" s="67"/>
      <c r="O45" s="67"/>
      <c r="P45" s="67"/>
      <c r="S45" s="35" t="s">
        <v>119</v>
      </c>
      <c r="T45" t="s">
        <v>26</v>
      </c>
      <c r="U45" t="s">
        <v>28</v>
      </c>
      <c r="V45" t="s">
        <v>29</v>
      </c>
      <c r="W45" t="s">
        <v>120</v>
      </c>
    </row>
    <row r="46" spans="2:23" x14ac:dyDescent="0.45">
      <c r="B46" s="37" t="s">
        <v>53</v>
      </c>
      <c r="C46" s="67">
        <v>560</v>
      </c>
      <c r="D46" s="67">
        <v>560</v>
      </c>
      <c r="E46" s="67">
        <v>32</v>
      </c>
      <c r="H46" s="37" t="s">
        <v>53</v>
      </c>
      <c r="I46" s="46"/>
      <c r="J46" s="46">
        <v>1.0571428571428572</v>
      </c>
      <c r="M46" s="37" t="s">
        <v>53</v>
      </c>
      <c r="N46" s="67">
        <v>31</v>
      </c>
      <c r="O46" s="67">
        <v>23</v>
      </c>
      <c r="P46" s="67">
        <v>0</v>
      </c>
      <c r="S46" s="49">
        <v>46020</v>
      </c>
      <c r="T46" s="67">
        <v>784</v>
      </c>
      <c r="U46" s="67">
        <v>385</v>
      </c>
      <c r="V46" s="67">
        <v>470</v>
      </c>
      <c r="W46" s="67">
        <v>1639</v>
      </c>
    </row>
    <row r="47" spans="2:23" x14ac:dyDescent="0.45">
      <c r="B47" s="37" t="s">
        <v>52</v>
      </c>
      <c r="C47" s="67">
        <v>560</v>
      </c>
      <c r="D47" s="67">
        <v>264</v>
      </c>
      <c r="E47" s="67">
        <v>0</v>
      </c>
      <c r="H47" s="37" t="s">
        <v>52</v>
      </c>
      <c r="I47" s="46">
        <v>0.47142857142857142</v>
      </c>
      <c r="J47" s="46"/>
      <c r="M47" s="37" t="s">
        <v>52</v>
      </c>
      <c r="N47" s="67">
        <v>31</v>
      </c>
      <c r="O47" s="67">
        <v>4</v>
      </c>
      <c r="P47" s="67">
        <v>0</v>
      </c>
      <c r="S47" s="49">
        <v>46021</v>
      </c>
      <c r="T47" s="67">
        <v>727.99999999999989</v>
      </c>
      <c r="U47" s="67">
        <v>325</v>
      </c>
      <c r="V47" s="67">
        <v>470</v>
      </c>
      <c r="W47" s="67">
        <v>1523</v>
      </c>
    </row>
    <row r="48" spans="2:23" x14ac:dyDescent="0.45">
      <c r="B48" s="37" t="s">
        <v>55</v>
      </c>
      <c r="C48" s="67">
        <v>560</v>
      </c>
      <c r="D48" s="67">
        <v>528</v>
      </c>
      <c r="E48" s="67">
        <v>0</v>
      </c>
      <c r="H48" s="37" t="s">
        <v>55</v>
      </c>
      <c r="I48" s="46">
        <v>0.94285714285714284</v>
      </c>
      <c r="J48" s="46"/>
      <c r="M48" s="37" t="s">
        <v>55</v>
      </c>
      <c r="N48" s="67">
        <v>31</v>
      </c>
      <c r="O48" s="67">
        <v>8</v>
      </c>
      <c r="P48" s="67">
        <v>0</v>
      </c>
      <c r="S48" s="49">
        <v>46022</v>
      </c>
      <c r="T48" s="67">
        <v>728</v>
      </c>
      <c r="U48" s="67">
        <v>350</v>
      </c>
      <c r="V48" s="67">
        <v>395</v>
      </c>
      <c r="W48" s="67">
        <v>1473</v>
      </c>
    </row>
    <row r="49" spans="2:23" x14ac:dyDescent="0.45">
      <c r="B49" s="37" t="s">
        <v>54</v>
      </c>
      <c r="C49" s="67">
        <v>560</v>
      </c>
      <c r="D49" s="67">
        <v>552</v>
      </c>
      <c r="E49" s="67">
        <v>0</v>
      </c>
      <c r="H49" s="37" t="s">
        <v>54</v>
      </c>
      <c r="I49" s="46">
        <v>0.98571428571428577</v>
      </c>
      <c r="J49" s="46"/>
      <c r="M49" s="37" t="s">
        <v>54</v>
      </c>
      <c r="N49" s="67">
        <v>31</v>
      </c>
      <c r="O49" s="67">
        <v>0</v>
      </c>
      <c r="P49" s="67">
        <v>30</v>
      </c>
      <c r="S49" s="49">
        <v>46023</v>
      </c>
      <c r="T49" s="67">
        <v>895.99999999999989</v>
      </c>
      <c r="U49" s="67">
        <v>1120</v>
      </c>
      <c r="V49" s="67">
        <v>970</v>
      </c>
      <c r="W49" s="67">
        <v>2986</v>
      </c>
    </row>
    <row r="50" spans="2:23" x14ac:dyDescent="0.45">
      <c r="B50" s="36" t="s">
        <v>28</v>
      </c>
      <c r="C50" s="67"/>
      <c r="D50" s="67"/>
      <c r="E50" s="67"/>
      <c r="H50" s="36" t="s">
        <v>28</v>
      </c>
      <c r="I50" s="46"/>
      <c r="J50" s="46"/>
      <c r="M50" s="36" t="s">
        <v>28</v>
      </c>
      <c r="N50" s="67"/>
      <c r="O50" s="67"/>
      <c r="P50" s="67"/>
      <c r="S50" s="49">
        <v>46024</v>
      </c>
      <c r="T50" s="67">
        <v>447.99999999999994</v>
      </c>
      <c r="U50" s="67">
        <v>560</v>
      </c>
      <c r="V50" s="67">
        <v>485</v>
      </c>
      <c r="W50" s="67">
        <v>1493</v>
      </c>
    </row>
    <row r="51" spans="2:23" x14ac:dyDescent="0.45">
      <c r="B51" s="37" t="s">
        <v>50</v>
      </c>
      <c r="C51" s="67">
        <v>560</v>
      </c>
      <c r="D51" s="67">
        <v>539</v>
      </c>
      <c r="E51" s="67">
        <v>0</v>
      </c>
      <c r="H51" s="37" t="s">
        <v>50</v>
      </c>
      <c r="I51" s="46">
        <v>0.96250000000000002</v>
      </c>
      <c r="J51" s="46"/>
      <c r="M51" s="37" t="s">
        <v>50</v>
      </c>
      <c r="N51" s="67">
        <v>31</v>
      </c>
      <c r="O51" s="67">
        <v>0</v>
      </c>
      <c r="P51" s="67">
        <v>29</v>
      </c>
      <c r="S51" s="49">
        <v>46025</v>
      </c>
      <c r="T51" s="67">
        <v>755.99999999999989</v>
      </c>
      <c r="U51" s="67">
        <v>765</v>
      </c>
      <c r="V51" s="67">
        <v>592.5</v>
      </c>
      <c r="W51" s="67">
        <v>2113.5</v>
      </c>
    </row>
    <row r="52" spans="2:23" x14ac:dyDescent="0.45">
      <c r="B52" s="37" t="s">
        <v>48</v>
      </c>
      <c r="C52" s="67">
        <v>560</v>
      </c>
      <c r="D52" s="67">
        <v>443</v>
      </c>
      <c r="E52" s="67">
        <v>0</v>
      </c>
      <c r="H52" s="37" t="s">
        <v>48</v>
      </c>
      <c r="I52" s="46">
        <v>0.79107142857142854</v>
      </c>
      <c r="J52" s="46"/>
      <c r="M52" s="37" t="s">
        <v>48</v>
      </c>
      <c r="N52" s="67">
        <v>31</v>
      </c>
      <c r="O52" s="67">
        <v>19</v>
      </c>
      <c r="P52" s="67">
        <v>0</v>
      </c>
      <c r="S52" s="49">
        <v>46026</v>
      </c>
      <c r="T52" s="67">
        <v>755.99999999999989</v>
      </c>
      <c r="U52" s="67">
        <v>525</v>
      </c>
      <c r="V52" s="67">
        <v>592.49999999999989</v>
      </c>
      <c r="W52" s="67">
        <v>1873.5</v>
      </c>
    </row>
    <row r="53" spans="2:23" x14ac:dyDescent="0.45">
      <c r="B53" s="37" t="s">
        <v>51</v>
      </c>
      <c r="C53" s="67">
        <v>560</v>
      </c>
      <c r="D53" s="67">
        <v>525</v>
      </c>
      <c r="E53" s="67">
        <v>0</v>
      </c>
      <c r="H53" s="37" t="s">
        <v>51</v>
      </c>
      <c r="I53" s="46">
        <v>0.9375</v>
      </c>
      <c r="J53" s="46"/>
      <c r="M53" s="37" t="s">
        <v>51</v>
      </c>
      <c r="N53" s="67">
        <v>31</v>
      </c>
      <c r="O53" s="67">
        <v>0</v>
      </c>
      <c r="P53" s="67">
        <v>30</v>
      </c>
      <c r="S53" s="49">
        <v>46027</v>
      </c>
      <c r="T53" s="67">
        <v>0</v>
      </c>
      <c r="U53" s="67">
        <v>0</v>
      </c>
      <c r="V53" s="67">
        <v>0</v>
      </c>
      <c r="W53" s="67">
        <v>0</v>
      </c>
    </row>
    <row r="54" spans="2:23" x14ac:dyDescent="0.45">
      <c r="B54" s="36" t="s">
        <v>29</v>
      </c>
      <c r="C54" s="67"/>
      <c r="D54" s="67"/>
      <c r="E54" s="67"/>
      <c r="H54" s="36" t="s">
        <v>29</v>
      </c>
      <c r="I54" s="46"/>
      <c r="J54" s="46"/>
      <c r="M54" s="36" t="s">
        <v>29</v>
      </c>
      <c r="N54" s="67"/>
      <c r="O54" s="67"/>
      <c r="P54" s="67"/>
      <c r="S54" s="49">
        <v>46028</v>
      </c>
      <c r="T54" s="67">
        <v>0</v>
      </c>
      <c r="U54" s="67">
        <v>0</v>
      </c>
      <c r="V54" s="67">
        <v>0</v>
      </c>
      <c r="W54" s="67">
        <v>0</v>
      </c>
    </row>
    <row r="55" spans="2:23" x14ac:dyDescent="0.45">
      <c r="B55" s="37" t="s">
        <v>61</v>
      </c>
      <c r="C55" s="67">
        <v>280</v>
      </c>
      <c r="D55" s="67">
        <v>244.99999999999997</v>
      </c>
      <c r="E55" s="67">
        <v>0</v>
      </c>
      <c r="H55" s="37" t="s">
        <v>61</v>
      </c>
      <c r="I55" s="46">
        <v>0.87499999999999989</v>
      </c>
      <c r="J55" s="46"/>
      <c r="M55" s="37" t="s">
        <v>61</v>
      </c>
      <c r="N55" s="67">
        <v>31</v>
      </c>
      <c r="O55" s="67">
        <v>9</v>
      </c>
      <c r="P55" s="67">
        <v>0</v>
      </c>
      <c r="S55" s="49">
        <v>46029</v>
      </c>
      <c r="T55" s="67">
        <v>0</v>
      </c>
      <c r="U55" s="67">
        <v>0</v>
      </c>
      <c r="V55" s="67">
        <v>0</v>
      </c>
      <c r="W55" s="67">
        <v>0</v>
      </c>
    </row>
    <row r="56" spans="2:23" x14ac:dyDescent="0.45">
      <c r="B56" s="37" t="s">
        <v>57</v>
      </c>
      <c r="C56" s="67">
        <v>560</v>
      </c>
      <c r="D56" s="67">
        <v>440</v>
      </c>
      <c r="E56" s="67">
        <v>0</v>
      </c>
      <c r="H56" s="37" t="s">
        <v>57</v>
      </c>
      <c r="I56" s="46">
        <v>0.7857142857142857</v>
      </c>
      <c r="J56" s="46"/>
      <c r="M56" s="37" t="s">
        <v>57</v>
      </c>
      <c r="N56" s="67">
        <v>31</v>
      </c>
      <c r="O56" s="67">
        <v>5</v>
      </c>
      <c r="P56" s="67">
        <v>0</v>
      </c>
      <c r="S56" s="49">
        <v>46030</v>
      </c>
      <c r="T56" s="67">
        <v>0</v>
      </c>
      <c r="U56" s="67">
        <v>0</v>
      </c>
      <c r="V56" s="67">
        <v>0</v>
      </c>
      <c r="W56" s="67">
        <v>0</v>
      </c>
    </row>
    <row r="57" spans="2:23" x14ac:dyDescent="0.45">
      <c r="B57" s="37" t="s">
        <v>58</v>
      </c>
      <c r="C57" s="67">
        <v>560</v>
      </c>
      <c r="D57" s="67">
        <v>431</v>
      </c>
      <c r="E57" s="67">
        <v>0</v>
      </c>
      <c r="H57" s="37" t="s">
        <v>58</v>
      </c>
      <c r="I57" s="46">
        <v>0.76964285714285718</v>
      </c>
      <c r="J57" s="46"/>
      <c r="M57" s="37" t="s">
        <v>58</v>
      </c>
      <c r="N57" s="67">
        <v>31</v>
      </c>
      <c r="O57" s="67">
        <v>0</v>
      </c>
      <c r="P57" s="67">
        <v>30</v>
      </c>
      <c r="S57" s="49">
        <v>46031</v>
      </c>
      <c r="T57" s="67">
        <v>447.99999999999994</v>
      </c>
      <c r="U57" s="67">
        <v>560</v>
      </c>
      <c r="V57" s="67">
        <v>485</v>
      </c>
      <c r="W57" s="67">
        <v>1493</v>
      </c>
    </row>
    <row r="58" spans="2:23" x14ac:dyDescent="0.45">
      <c r="B58" s="37" t="s">
        <v>62</v>
      </c>
      <c r="C58" s="67">
        <v>280</v>
      </c>
      <c r="D58" s="67">
        <v>280</v>
      </c>
      <c r="E58" s="67">
        <v>46</v>
      </c>
      <c r="H58" s="37" t="s">
        <v>62</v>
      </c>
      <c r="I58" s="46"/>
      <c r="J58" s="46">
        <v>1.1642857142857144</v>
      </c>
      <c r="M58" s="37" t="s">
        <v>62</v>
      </c>
      <c r="N58" s="67">
        <v>31</v>
      </c>
      <c r="O58" s="67">
        <v>0</v>
      </c>
      <c r="P58" s="67">
        <v>25</v>
      </c>
      <c r="S58" s="49">
        <v>46032</v>
      </c>
      <c r="T58" s="67">
        <v>755.99999999999989</v>
      </c>
      <c r="U58" s="67">
        <v>765</v>
      </c>
      <c r="V58" s="67">
        <v>592.5</v>
      </c>
      <c r="W58" s="67">
        <v>2113.5</v>
      </c>
    </row>
    <row r="59" spans="2:23" x14ac:dyDescent="0.45">
      <c r="B59" s="37" t="s">
        <v>56</v>
      </c>
      <c r="C59" s="67">
        <v>560</v>
      </c>
      <c r="D59" s="67">
        <v>560</v>
      </c>
      <c r="E59" s="67">
        <v>56</v>
      </c>
      <c r="H59" s="37" t="s">
        <v>56</v>
      </c>
      <c r="I59" s="46"/>
      <c r="J59" s="46">
        <v>1.1000000000000001</v>
      </c>
      <c r="M59" s="37" t="s">
        <v>56</v>
      </c>
      <c r="N59" s="67">
        <v>31</v>
      </c>
      <c r="O59" s="67">
        <v>0</v>
      </c>
      <c r="P59" s="67">
        <v>26</v>
      </c>
      <c r="S59" s="49">
        <v>46033</v>
      </c>
      <c r="T59" s="67">
        <v>755.99999999999989</v>
      </c>
      <c r="U59" s="67">
        <v>525</v>
      </c>
      <c r="V59" s="67">
        <v>592.49999999999989</v>
      </c>
      <c r="W59" s="67">
        <v>1873.5</v>
      </c>
    </row>
    <row r="60" spans="2:23" x14ac:dyDescent="0.45">
      <c r="B60" s="37" t="s">
        <v>59</v>
      </c>
      <c r="C60" s="67">
        <v>280</v>
      </c>
      <c r="D60" s="67">
        <v>280</v>
      </c>
      <c r="E60" s="67">
        <v>0</v>
      </c>
      <c r="H60" s="37" t="s">
        <v>59</v>
      </c>
      <c r="I60" s="46">
        <v>1</v>
      </c>
      <c r="J60" s="46"/>
      <c r="M60" s="37" t="s">
        <v>59</v>
      </c>
      <c r="N60" s="67">
        <v>31</v>
      </c>
      <c r="O60" s="67">
        <v>10</v>
      </c>
      <c r="P60" s="67">
        <v>0</v>
      </c>
      <c r="S60" s="49">
        <v>46034</v>
      </c>
      <c r="T60" s="67">
        <v>784</v>
      </c>
      <c r="U60" s="67">
        <v>385</v>
      </c>
      <c r="V60" s="67">
        <v>470</v>
      </c>
      <c r="W60" s="67">
        <v>1639</v>
      </c>
    </row>
    <row r="61" spans="2:23" x14ac:dyDescent="0.45">
      <c r="B61" s="36" t="s">
        <v>120</v>
      </c>
      <c r="C61" s="67">
        <v>6439.9999999999</v>
      </c>
      <c r="D61" s="67">
        <v>5781</v>
      </c>
      <c r="E61" s="67">
        <v>0</v>
      </c>
      <c r="H61" s="36" t="s">
        <v>120</v>
      </c>
      <c r="I61" s="46">
        <v>0.89767080745343009</v>
      </c>
      <c r="J61" s="46"/>
      <c r="M61" s="36" t="s">
        <v>120</v>
      </c>
      <c r="N61" s="67">
        <v>31</v>
      </c>
      <c r="O61" s="67">
        <v>0</v>
      </c>
      <c r="P61" s="67">
        <v>248</v>
      </c>
      <c r="S61" s="49">
        <v>46035</v>
      </c>
      <c r="T61" s="67">
        <v>784</v>
      </c>
      <c r="U61" s="67">
        <v>385</v>
      </c>
      <c r="V61" s="67">
        <v>545</v>
      </c>
      <c r="W61" s="67">
        <v>1714</v>
      </c>
    </row>
    <row r="62" spans="2:23" x14ac:dyDescent="0.45">
      <c r="S62" s="49">
        <v>46036</v>
      </c>
      <c r="T62" s="67">
        <v>727.99999999999989</v>
      </c>
      <c r="U62" s="67">
        <v>325</v>
      </c>
      <c r="V62" s="67">
        <v>470</v>
      </c>
      <c r="W62" s="67">
        <v>1523</v>
      </c>
    </row>
    <row r="63" spans="2:23" x14ac:dyDescent="0.45">
      <c r="S63" s="49">
        <v>46037</v>
      </c>
      <c r="T63" s="67">
        <v>728</v>
      </c>
      <c r="U63" s="67">
        <v>350</v>
      </c>
      <c r="V63" s="67">
        <v>395</v>
      </c>
      <c r="W63" s="67">
        <v>1473</v>
      </c>
    </row>
    <row r="64" spans="2:23" x14ac:dyDescent="0.45">
      <c r="S64" s="49">
        <v>46038</v>
      </c>
      <c r="T64" s="67">
        <v>447.99999999999994</v>
      </c>
      <c r="U64" s="67">
        <v>560</v>
      </c>
      <c r="V64" s="67">
        <v>485</v>
      </c>
      <c r="W64" s="67">
        <v>1493</v>
      </c>
    </row>
    <row r="65" spans="19:23" x14ac:dyDescent="0.45">
      <c r="S65" s="49">
        <v>46039</v>
      </c>
      <c r="T65" s="67">
        <v>755.99999999999989</v>
      </c>
      <c r="U65" s="67">
        <v>765</v>
      </c>
      <c r="V65" s="67">
        <v>592.5</v>
      </c>
      <c r="W65" s="67">
        <v>2113.5</v>
      </c>
    </row>
    <row r="66" spans="19:23" x14ac:dyDescent="0.45">
      <c r="S66" s="49">
        <v>46040</v>
      </c>
      <c r="T66" s="67">
        <v>755.99999999999989</v>
      </c>
      <c r="U66" s="67">
        <v>525</v>
      </c>
      <c r="V66" s="67">
        <v>592.49999999999989</v>
      </c>
      <c r="W66" s="67">
        <v>1873.5</v>
      </c>
    </row>
    <row r="67" spans="19:23" x14ac:dyDescent="0.45">
      <c r="S67" s="49">
        <v>46041</v>
      </c>
      <c r="T67" s="67">
        <v>784</v>
      </c>
      <c r="U67" s="67">
        <v>385</v>
      </c>
      <c r="V67" s="67">
        <v>470</v>
      </c>
      <c r="W67" s="67">
        <v>1639</v>
      </c>
    </row>
    <row r="68" spans="19:23" x14ac:dyDescent="0.45">
      <c r="S68" s="49">
        <v>46042</v>
      </c>
      <c r="T68" s="67">
        <v>784</v>
      </c>
      <c r="U68" s="67">
        <v>385</v>
      </c>
      <c r="V68" s="67">
        <v>545</v>
      </c>
      <c r="W68" s="67">
        <v>1714</v>
      </c>
    </row>
    <row r="69" spans="19:23" x14ac:dyDescent="0.45">
      <c r="S69" s="49">
        <v>46043</v>
      </c>
      <c r="T69" s="67">
        <v>727.99999999999989</v>
      </c>
      <c r="U69" s="67">
        <v>325</v>
      </c>
      <c r="V69" s="67">
        <v>470</v>
      </c>
      <c r="W69" s="67">
        <v>1523</v>
      </c>
    </row>
    <row r="70" spans="19:23" x14ac:dyDescent="0.45">
      <c r="S70" s="49">
        <v>46044</v>
      </c>
      <c r="T70" s="67">
        <v>728</v>
      </c>
      <c r="U70" s="67">
        <v>350</v>
      </c>
      <c r="V70" s="67">
        <v>395</v>
      </c>
      <c r="W70" s="67">
        <v>1473</v>
      </c>
    </row>
    <row r="71" spans="19:23" x14ac:dyDescent="0.45">
      <c r="S71" s="49">
        <v>46045</v>
      </c>
      <c r="T71" s="67">
        <v>447.99999999999994</v>
      </c>
      <c r="U71" s="67">
        <v>560</v>
      </c>
      <c r="V71" s="67">
        <v>485</v>
      </c>
      <c r="W71" s="67">
        <v>1493</v>
      </c>
    </row>
    <row r="72" spans="19:23" x14ac:dyDescent="0.45">
      <c r="S72" s="49">
        <v>46046</v>
      </c>
      <c r="T72" s="67">
        <v>755.99999999999989</v>
      </c>
      <c r="U72" s="67">
        <v>765</v>
      </c>
      <c r="V72" s="67">
        <v>592.5</v>
      </c>
      <c r="W72" s="67">
        <v>2113.5</v>
      </c>
    </row>
    <row r="73" spans="19:23" x14ac:dyDescent="0.45">
      <c r="S73" s="49">
        <v>46047</v>
      </c>
      <c r="T73" s="67">
        <v>755.99999999999989</v>
      </c>
      <c r="U73" s="67">
        <v>525</v>
      </c>
      <c r="V73" s="67">
        <v>592.49999999999989</v>
      </c>
      <c r="W73" s="67">
        <v>1873.5</v>
      </c>
    </row>
    <row r="74" spans="19:23" x14ac:dyDescent="0.45">
      <c r="S74" s="49">
        <v>46048</v>
      </c>
      <c r="T74" s="67">
        <v>784</v>
      </c>
      <c r="U74" s="67">
        <v>385</v>
      </c>
      <c r="V74" s="67">
        <v>470</v>
      </c>
      <c r="W74" s="67">
        <v>1639</v>
      </c>
    </row>
    <row r="75" spans="19:23" x14ac:dyDescent="0.45">
      <c r="S75" s="49">
        <v>46049</v>
      </c>
      <c r="T75" s="67">
        <v>784</v>
      </c>
      <c r="U75" s="67">
        <v>385</v>
      </c>
      <c r="V75" s="67">
        <v>545</v>
      </c>
      <c r="W75" s="67">
        <v>1714</v>
      </c>
    </row>
    <row r="76" spans="19:23" x14ac:dyDescent="0.45">
      <c r="S76" s="49">
        <v>46050</v>
      </c>
      <c r="T76" s="67">
        <v>727.99999999999989</v>
      </c>
      <c r="U76" s="67">
        <v>325</v>
      </c>
      <c r="V76" s="67">
        <v>470</v>
      </c>
      <c r="W76" s="67">
        <v>1523</v>
      </c>
    </row>
    <row r="77" spans="19:23" x14ac:dyDescent="0.45">
      <c r="S77" s="49">
        <v>46051</v>
      </c>
      <c r="T77" s="67">
        <v>728</v>
      </c>
      <c r="U77" s="67">
        <v>350</v>
      </c>
      <c r="V77" s="67">
        <v>395</v>
      </c>
      <c r="W77" s="67">
        <v>1473</v>
      </c>
    </row>
    <row r="78" spans="19:23" x14ac:dyDescent="0.45">
      <c r="S78" s="49">
        <v>46052</v>
      </c>
      <c r="T78" s="67">
        <v>447.99999999999994</v>
      </c>
      <c r="U78" s="67">
        <v>560</v>
      </c>
      <c r="V78" s="67">
        <v>485</v>
      </c>
      <c r="W78" s="67">
        <v>1493</v>
      </c>
    </row>
    <row r="79" spans="19:23" x14ac:dyDescent="0.45">
      <c r="S79" s="49">
        <v>46053</v>
      </c>
      <c r="T79" s="67">
        <v>755.99999999999989</v>
      </c>
      <c r="U79" s="67">
        <v>765</v>
      </c>
      <c r="V79" s="67">
        <v>592.5</v>
      </c>
      <c r="W79" s="67">
        <v>2113.5</v>
      </c>
    </row>
    <row r="80" spans="19:23" x14ac:dyDescent="0.45">
      <c r="S80" s="49">
        <v>46054</v>
      </c>
      <c r="T80" s="67">
        <v>755.99999999999989</v>
      </c>
      <c r="U80" s="67">
        <v>525</v>
      </c>
      <c r="V80" s="67">
        <v>592.49999999999989</v>
      </c>
      <c r="W80" s="67">
        <v>1873.5</v>
      </c>
    </row>
    <row r="81" spans="19:23" x14ac:dyDescent="0.45">
      <c r="S81" s="49">
        <v>46055</v>
      </c>
      <c r="T81" s="67">
        <v>784</v>
      </c>
      <c r="U81" s="67">
        <v>385</v>
      </c>
      <c r="V81" s="67">
        <v>470</v>
      </c>
      <c r="W81" s="67">
        <v>1639</v>
      </c>
    </row>
    <row r="82" spans="19:23" x14ac:dyDescent="0.45">
      <c r="S82" s="49">
        <v>46056</v>
      </c>
      <c r="T82" s="67">
        <v>784</v>
      </c>
      <c r="U82" s="67">
        <v>385</v>
      </c>
      <c r="V82" s="67">
        <v>545</v>
      </c>
      <c r="W82" s="67">
        <v>1714</v>
      </c>
    </row>
    <row r="83" spans="19:23" x14ac:dyDescent="0.45">
      <c r="S83" s="49">
        <v>46057</v>
      </c>
      <c r="T83" s="67">
        <v>727.99999999999989</v>
      </c>
      <c r="U83" s="67">
        <v>325</v>
      </c>
      <c r="V83" s="67">
        <v>470</v>
      </c>
      <c r="W83" s="67">
        <v>1523</v>
      </c>
    </row>
    <row r="84" spans="19:23" x14ac:dyDescent="0.45">
      <c r="S84" s="49">
        <v>46058</v>
      </c>
      <c r="T84" s="67">
        <v>728</v>
      </c>
      <c r="U84" s="67">
        <v>350</v>
      </c>
      <c r="V84" s="67">
        <v>395</v>
      </c>
      <c r="W84" s="67">
        <v>1473</v>
      </c>
    </row>
    <row r="85" spans="19:23" x14ac:dyDescent="0.45">
      <c r="S85" s="49">
        <v>46059</v>
      </c>
      <c r="T85" s="67">
        <v>447.99999999999994</v>
      </c>
      <c r="U85" s="67">
        <v>560</v>
      </c>
      <c r="V85" s="67">
        <v>485</v>
      </c>
      <c r="W85" s="67">
        <v>1493</v>
      </c>
    </row>
    <row r="86" spans="19:23" x14ac:dyDescent="0.45">
      <c r="S86" s="49">
        <v>46060</v>
      </c>
      <c r="T86" s="67">
        <v>755.99999999999989</v>
      </c>
      <c r="U86" s="67">
        <v>765</v>
      </c>
      <c r="V86" s="67">
        <v>592.5</v>
      </c>
      <c r="W86" s="67">
        <v>2113.5</v>
      </c>
    </row>
    <row r="87" spans="19:23" x14ac:dyDescent="0.45">
      <c r="S87" s="49">
        <v>46061</v>
      </c>
      <c r="T87" s="67">
        <v>755.99999999999989</v>
      </c>
      <c r="U87" s="67">
        <v>525</v>
      </c>
      <c r="V87" s="67">
        <v>592.49999999999989</v>
      </c>
      <c r="W87" s="67">
        <v>1873.5</v>
      </c>
    </row>
    <row r="88" spans="19:23" x14ac:dyDescent="0.45">
      <c r="S88" s="49">
        <v>46062</v>
      </c>
      <c r="T88" s="67">
        <v>784</v>
      </c>
      <c r="U88" s="67">
        <v>385</v>
      </c>
      <c r="V88" s="67">
        <v>470</v>
      </c>
      <c r="W88" s="67">
        <v>1639</v>
      </c>
    </row>
    <row r="89" spans="19:23" x14ac:dyDescent="0.45">
      <c r="S89" s="49">
        <v>46063</v>
      </c>
      <c r="T89" s="67">
        <v>784</v>
      </c>
      <c r="U89" s="67">
        <v>385</v>
      </c>
      <c r="V89" s="67">
        <v>545</v>
      </c>
      <c r="W89" s="67">
        <v>1714</v>
      </c>
    </row>
    <row r="90" spans="19:23" x14ac:dyDescent="0.45">
      <c r="S90" s="49">
        <v>46064</v>
      </c>
      <c r="T90" s="67">
        <v>727.99999999999989</v>
      </c>
      <c r="U90" s="67">
        <v>325</v>
      </c>
      <c r="V90" s="67">
        <v>470</v>
      </c>
      <c r="W90" s="67">
        <v>1523</v>
      </c>
    </row>
    <row r="91" spans="19:23" x14ac:dyDescent="0.45">
      <c r="S91" s="49">
        <v>46065</v>
      </c>
      <c r="T91" s="67">
        <v>728</v>
      </c>
      <c r="U91" s="67">
        <v>350</v>
      </c>
      <c r="V91" s="67">
        <v>395</v>
      </c>
      <c r="W91" s="67">
        <v>1473</v>
      </c>
    </row>
    <row r="92" spans="19:23" x14ac:dyDescent="0.45">
      <c r="S92" s="49">
        <v>46066</v>
      </c>
      <c r="T92" s="67">
        <v>447.99999999999994</v>
      </c>
      <c r="U92" s="67">
        <v>560</v>
      </c>
      <c r="V92" s="67">
        <v>485</v>
      </c>
      <c r="W92" s="67">
        <v>1493</v>
      </c>
    </row>
    <row r="93" spans="19:23" x14ac:dyDescent="0.45">
      <c r="S93" s="49">
        <v>46067</v>
      </c>
      <c r="T93" s="67">
        <v>755.99999999999989</v>
      </c>
      <c r="U93" s="67">
        <v>765</v>
      </c>
      <c r="V93" s="67">
        <v>592.5</v>
      </c>
      <c r="W93" s="67">
        <v>2113.5</v>
      </c>
    </row>
    <row r="94" spans="19:23" x14ac:dyDescent="0.45">
      <c r="S94" s="49">
        <v>46068</v>
      </c>
      <c r="T94" s="67">
        <v>755.99999999999989</v>
      </c>
      <c r="U94" s="67">
        <v>525</v>
      </c>
      <c r="V94" s="67">
        <v>592.49999999999989</v>
      </c>
      <c r="W94" s="67">
        <v>1873.5</v>
      </c>
    </row>
    <row r="95" spans="19:23" x14ac:dyDescent="0.45">
      <c r="S95" s="49">
        <v>46069</v>
      </c>
      <c r="T95" s="67">
        <v>784</v>
      </c>
      <c r="U95" s="67">
        <v>385</v>
      </c>
      <c r="V95" s="67">
        <v>470</v>
      </c>
      <c r="W95" s="67">
        <v>1639</v>
      </c>
    </row>
    <row r="96" spans="19:23" x14ac:dyDescent="0.45">
      <c r="S96" s="49">
        <v>46070</v>
      </c>
      <c r="T96" s="67">
        <v>784</v>
      </c>
      <c r="U96" s="67">
        <v>385</v>
      </c>
      <c r="V96" s="67">
        <v>545</v>
      </c>
      <c r="W96" s="67">
        <v>1714</v>
      </c>
    </row>
    <row r="97" spans="19:23" x14ac:dyDescent="0.45">
      <c r="S97" s="49">
        <v>46071</v>
      </c>
      <c r="T97" s="67">
        <v>727.99999999999989</v>
      </c>
      <c r="U97" s="67">
        <v>325</v>
      </c>
      <c r="V97" s="67">
        <v>470</v>
      </c>
      <c r="W97" s="67">
        <v>1523</v>
      </c>
    </row>
    <row r="98" spans="19:23" x14ac:dyDescent="0.45">
      <c r="S98" s="49">
        <v>46072</v>
      </c>
      <c r="T98" s="67">
        <v>728</v>
      </c>
      <c r="U98" s="67">
        <v>350</v>
      </c>
      <c r="V98" s="67">
        <v>395</v>
      </c>
      <c r="W98" s="67">
        <v>1473</v>
      </c>
    </row>
    <row r="99" spans="19:23" x14ac:dyDescent="0.45">
      <c r="S99" s="49">
        <v>46073</v>
      </c>
      <c r="T99" s="67">
        <v>447.99999999999994</v>
      </c>
      <c r="U99" s="67">
        <v>560</v>
      </c>
      <c r="V99" s="67">
        <v>485</v>
      </c>
      <c r="W99" s="67">
        <v>1493</v>
      </c>
    </row>
    <row r="100" spans="19:23" x14ac:dyDescent="0.45">
      <c r="S100" s="49">
        <v>46074</v>
      </c>
      <c r="T100" s="67">
        <v>755.99999999999989</v>
      </c>
      <c r="U100" s="67">
        <v>765</v>
      </c>
      <c r="V100" s="67">
        <v>592.5</v>
      </c>
      <c r="W100" s="67">
        <v>2113.5</v>
      </c>
    </row>
    <row r="101" spans="19:23" x14ac:dyDescent="0.45">
      <c r="S101" s="49">
        <v>46075</v>
      </c>
      <c r="T101" s="67">
        <v>755.99999999999989</v>
      </c>
      <c r="U101" s="67">
        <v>525</v>
      </c>
      <c r="V101" s="67">
        <v>592.49999999999989</v>
      </c>
      <c r="W101" s="67">
        <v>1873.5</v>
      </c>
    </row>
    <row r="102" spans="19:23" x14ac:dyDescent="0.45">
      <c r="S102" s="49">
        <v>46076</v>
      </c>
      <c r="T102" s="67">
        <v>784</v>
      </c>
      <c r="U102" s="67">
        <v>385</v>
      </c>
      <c r="V102" s="67">
        <v>470</v>
      </c>
      <c r="W102" s="67">
        <v>1639</v>
      </c>
    </row>
    <row r="103" spans="19:23" x14ac:dyDescent="0.45">
      <c r="S103" s="49">
        <v>46077</v>
      </c>
      <c r="T103" s="67">
        <v>784</v>
      </c>
      <c r="U103" s="67">
        <v>560</v>
      </c>
      <c r="V103" s="67">
        <v>545</v>
      </c>
      <c r="W103" s="67">
        <v>1889</v>
      </c>
    </row>
    <row r="104" spans="19:23" x14ac:dyDescent="0.45">
      <c r="S104" s="49">
        <v>46078</v>
      </c>
      <c r="T104" s="67">
        <v>728</v>
      </c>
      <c r="U104" s="67">
        <v>325</v>
      </c>
      <c r="V104" s="67">
        <v>395</v>
      </c>
      <c r="W104" s="67">
        <v>1448</v>
      </c>
    </row>
    <row r="105" spans="19:23" x14ac:dyDescent="0.45">
      <c r="S105" s="49">
        <v>46079</v>
      </c>
      <c r="T105" s="67">
        <v>728</v>
      </c>
      <c r="U105" s="67">
        <v>350</v>
      </c>
      <c r="V105" s="67">
        <v>395</v>
      </c>
      <c r="W105" s="67">
        <v>1473</v>
      </c>
    </row>
    <row r="106" spans="19:23" x14ac:dyDescent="0.45">
      <c r="S106" s="49">
        <v>46080</v>
      </c>
      <c r="T106" s="67">
        <v>1092</v>
      </c>
      <c r="U106" s="67">
        <v>840</v>
      </c>
      <c r="V106" s="67">
        <v>705</v>
      </c>
      <c r="W106" s="67">
        <v>2637</v>
      </c>
    </row>
    <row r="107" spans="19:23" x14ac:dyDescent="0.45">
      <c r="S107" s="49">
        <v>46081</v>
      </c>
      <c r="T107" s="67">
        <v>756</v>
      </c>
      <c r="U107" s="67">
        <v>765</v>
      </c>
      <c r="V107" s="67">
        <v>592.5</v>
      </c>
      <c r="W107" s="67">
        <v>2113.5</v>
      </c>
    </row>
    <row r="108" spans="19:23" x14ac:dyDescent="0.45">
      <c r="S108" s="49">
        <v>46082</v>
      </c>
      <c r="T108" s="67">
        <v>504</v>
      </c>
      <c r="U108" s="67">
        <v>350</v>
      </c>
      <c r="V108" s="67">
        <v>395</v>
      </c>
      <c r="W108" s="67">
        <v>1249</v>
      </c>
    </row>
    <row r="109" spans="19:23" x14ac:dyDescent="0.45">
      <c r="S109" s="49">
        <v>46083</v>
      </c>
      <c r="T109" s="67">
        <v>784</v>
      </c>
      <c r="U109" s="67">
        <v>385</v>
      </c>
      <c r="V109" s="67">
        <v>470</v>
      </c>
      <c r="W109" s="67">
        <v>1639</v>
      </c>
    </row>
    <row r="110" spans="19:23" x14ac:dyDescent="0.45">
      <c r="S110" s="49">
        <v>46084</v>
      </c>
      <c r="T110" s="67">
        <v>784</v>
      </c>
      <c r="U110" s="67">
        <v>560</v>
      </c>
      <c r="V110" s="67">
        <v>545</v>
      </c>
      <c r="W110" s="67">
        <v>1889</v>
      </c>
    </row>
    <row r="111" spans="19:23" x14ac:dyDescent="0.45">
      <c r="S111" s="49">
        <v>46085</v>
      </c>
      <c r="T111" s="67">
        <v>728</v>
      </c>
      <c r="U111" s="67">
        <v>325</v>
      </c>
      <c r="V111" s="67">
        <v>395</v>
      </c>
      <c r="W111" s="67">
        <v>1448</v>
      </c>
    </row>
    <row r="112" spans="19:23" x14ac:dyDescent="0.45">
      <c r="S112" s="49">
        <v>46086</v>
      </c>
      <c r="T112" s="67">
        <v>728</v>
      </c>
      <c r="U112" s="67">
        <v>350</v>
      </c>
      <c r="V112" s="67">
        <v>395</v>
      </c>
      <c r="W112" s="67">
        <v>1473</v>
      </c>
    </row>
    <row r="113" spans="19:23" x14ac:dyDescent="0.45">
      <c r="S113" s="49">
        <v>46087</v>
      </c>
      <c r="T113" s="67">
        <v>1092</v>
      </c>
      <c r="U113" s="67">
        <v>840</v>
      </c>
      <c r="V113" s="67">
        <v>795</v>
      </c>
      <c r="W113" s="67">
        <v>2727</v>
      </c>
    </row>
    <row r="114" spans="19:23" x14ac:dyDescent="0.45">
      <c r="S114" s="49">
        <v>46088</v>
      </c>
      <c r="T114" s="67">
        <v>756</v>
      </c>
      <c r="U114" s="67">
        <v>765</v>
      </c>
      <c r="V114" s="67">
        <v>592.5</v>
      </c>
      <c r="W114" s="67">
        <v>2113.5</v>
      </c>
    </row>
    <row r="115" spans="19:23" x14ac:dyDescent="0.45">
      <c r="S115" s="49">
        <v>46089</v>
      </c>
      <c r="T115" s="67">
        <v>504</v>
      </c>
      <c r="U115" s="67">
        <v>350</v>
      </c>
      <c r="V115" s="67">
        <v>395</v>
      </c>
      <c r="W115" s="67">
        <v>1249</v>
      </c>
    </row>
    <row r="116" spans="19:23" x14ac:dyDescent="0.45">
      <c r="S116" s="49">
        <v>46090</v>
      </c>
      <c r="T116" s="67">
        <v>784</v>
      </c>
      <c r="U116" s="67">
        <v>385</v>
      </c>
      <c r="V116" s="67">
        <v>470</v>
      </c>
      <c r="W116" s="67">
        <v>1639</v>
      </c>
    </row>
    <row r="117" spans="19:23" x14ac:dyDescent="0.45">
      <c r="S117" s="49">
        <v>46091</v>
      </c>
      <c r="T117" s="67">
        <v>784</v>
      </c>
      <c r="U117" s="67">
        <v>560</v>
      </c>
      <c r="V117" s="67">
        <v>545</v>
      </c>
      <c r="W117" s="67">
        <v>1889</v>
      </c>
    </row>
    <row r="118" spans="19:23" x14ac:dyDescent="0.45">
      <c r="S118" s="49">
        <v>46092</v>
      </c>
      <c r="T118" s="67">
        <v>728</v>
      </c>
      <c r="U118" s="67">
        <v>325</v>
      </c>
      <c r="V118" s="67">
        <v>395</v>
      </c>
      <c r="W118" s="67">
        <v>1448</v>
      </c>
    </row>
    <row r="119" spans="19:23" x14ac:dyDescent="0.45">
      <c r="S119" s="49">
        <v>46093</v>
      </c>
      <c r="T119" s="67">
        <v>728</v>
      </c>
      <c r="U119" s="67">
        <v>350</v>
      </c>
      <c r="V119" s="67">
        <v>395</v>
      </c>
      <c r="W119" s="67">
        <v>1473</v>
      </c>
    </row>
    <row r="120" spans="19:23" x14ac:dyDescent="0.45">
      <c r="S120" s="49">
        <v>46094</v>
      </c>
      <c r="T120" s="67">
        <v>672</v>
      </c>
      <c r="U120" s="67">
        <v>840</v>
      </c>
      <c r="V120" s="67">
        <v>795</v>
      </c>
      <c r="W120" s="67">
        <v>2307</v>
      </c>
    </row>
    <row r="121" spans="19:23" x14ac:dyDescent="0.45">
      <c r="S121" s="49">
        <v>46095</v>
      </c>
      <c r="T121" s="67">
        <v>756</v>
      </c>
      <c r="U121" s="67">
        <v>765</v>
      </c>
      <c r="V121" s="67">
        <v>592.5</v>
      </c>
      <c r="W121" s="67">
        <v>2113.5</v>
      </c>
    </row>
    <row r="122" spans="19:23" x14ac:dyDescent="0.45">
      <c r="S122" s="49">
        <v>46096</v>
      </c>
      <c r="T122" s="67">
        <v>504</v>
      </c>
      <c r="U122" s="67">
        <v>350</v>
      </c>
      <c r="V122" s="67">
        <v>395</v>
      </c>
      <c r="W122" s="67">
        <v>1249</v>
      </c>
    </row>
    <row r="123" spans="19:23" x14ac:dyDescent="0.45">
      <c r="S123" s="49">
        <v>46097</v>
      </c>
      <c r="T123" s="67">
        <v>784</v>
      </c>
      <c r="U123" s="67">
        <v>385</v>
      </c>
      <c r="V123" s="67">
        <v>470</v>
      </c>
      <c r="W123" s="67">
        <v>1639</v>
      </c>
    </row>
    <row r="124" spans="19:23" x14ac:dyDescent="0.45">
      <c r="S124" s="49">
        <v>46098</v>
      </c>
      <c r="T124" s="67">
        <v>784</v>
      </c>
      <c r="U124" s="67">
        <v>560</v>
      </c>
      <c r="V124" s="67">
        <v>545</v>
      </c>
      <c r="W124" s="67">
        <v>1889</v>
      </c>
    </row>
    <row r="125" spans="19:23" x14ac:dyDescent="0.45">
      <c r="S125" s="49">
        <v>46099</v>
      </c>
      <c r="T125" s="67">
        <v>1456</v>
      </c>
      <c r="U125" s="67">
        <v>770</v>
      </c>
      <c r="V125" s="67">
        <v>1110</v>
      </c>
      <c r="W125" s="67">
        <v>3336</v>
      </c>
    </row>
    <row r="126" spans="19:23" x14ac:dyDescent="0.45">
      <c r="S126" s="49">
        <v>46100</v>
      </c>
      <c r="T126" s="67">
        <v>448</v>
      </c>
      <c r="U126" s="67">
        <v>560</v>
      </c>
      <c r="V126" s="67">
        <v>395</v>
      </c>
      <c r="W126" s="67">
        <v>1403</v>
      </c>
    </row>
    <row r="127" spans="19:23" x14ac:dyDescent="0.45">
      <c r="S127" s="49">
        <v>46101</v>
      </c>
      <c r="T127" s="67">
        <v>672</v>
      </c>
      <c r="U127" s="67">
        <v>840</v>
      </c>
      <c r="V127" s="67">
        <v>705</v>
      </c>
      <c r="W127" s="67">
        <v>2217</v>
      </c>
    </row>
    <row r="128" spans="19:23" x14ac:dyDescent="0.45">
      <c r="S128" s="49">
        <v>46102</v>
      </c>
      <c r="T128" s="67">
        <v>756</v>
      </c>
      <c r="U128" s="67">
        <v>675</v>
      </c>
      <c r="V128" s="67">
        <v>817.5</v>
      </c>
      <c r="W128" s="67">
        <v>2248.5</v>
      </c>
    </row>
    <row r="129" spans="19:23" x14ac:dyDescent="0.45">
      <c r="S129" s="49">
        <v>46103</v>
      </c>
      <c r="T129" s="67">
        <v>504</v>
      </c>
      <c r="U129" s="67">
        <v>560</v>
      </c>
      <c r="V129" s="67">
        <v>470</v>
      </c>
      <c r="W129" s="67">
        <v>1534</v>
      </c>
    </row>
    <row r="130" spans="19:23" x14ac:dyDescent="0.45">
      <c r="S130" s="49">
        <v>46104</v>
      </c>
      <c r="T130" s="67">
        <v>784</v>
      </c>
      <c r="U130" s="67">
        <v>385</v>
      </c>
      <c r="V130" s="67">
        <v>470</v>
      </c>
      <c r="W130" s="67">
        <v>1639</v>
      </c>
    </row>
    <row r="131" spans="19:23" x14ac:dyDescent="0.45">
      <c r="S131" s="49">
        <v>46105</v>
      </c>
      <c r="T131" s="67">
        <v>784</v>
      </c>
      <c r="U131" s="67">
        <v>560</v>
      </c>
      <c r="V131" s="67">
        <v>545</v>
      </c>
      <c r="W131" s="67">
        <v>1889</v>
      </c>
    </row>
    <row r="132" spans="19:23" x14ac:dyDescent="0.45">
      <c r="S132" s="49">
        <v>46106</v>
      </c>
      <c r="T132" s="67">
        <v>728</v>
      </c>
      <c r="U132" s="67">
        <v>385</v>
      </c>
      <c r="V132" s="67">
        <v>555</v>
      </c>
      <c r="W132" s="67">
        <v>1668</v>
      </c>
    </row>
    <row r="133" spans="19:23" x14ac:dyDescent="0.45">
      <c r="S133" s="49">
        <v>46107</v>
      </c>
      <c r="T133" s="67">
        <v>728</v>
      </c>
      <c r="U133" s="67">
        <v>350</v>
      </c>
      <c r="V133" s="67">
        <v>395</v>
      </c>
      <c r="W133" s="67">
        <v>1473</v>
      </c>
    </row>
    <row r="134" spans="19:23" x14ac:dyDescent="0.45">
      <c r="S134" s="49">
        <v>46108</v>
      </c>
      <c r="T134" s="67">
        <v>1092</v>
      </c>
      <c r="U134" s="67">
        <v>525</v>
      </c>
      <c r="V134" s="67">
        <v>705</v>
      </c>
      <c r="W134" s="67">
        <v>2322</v>
      </c>
    </row>
    <row r="135" spans="19:23" x14ac:dyDescent="0.45">
      <c r="S135" s="49">
        <v>46109</v>
      </c>
      <c r="T135" s="67">
        <v>756</v>
      </c>
      <c r="U135" s="67">
        <v>675</v>
      </c>
      <c r="V135" s="67">
        <v>817.5</v>
      </c>
      <c r="W135" s="67">
        <v>2248.5</v>
      </c>
    </row>
    <row r="136" spans="19:23" x14ac:dyDescent="0.45">
      <c r="S136" s="49">
        <v>46110</v>
      </c>
      <c r="T136" s="67">
        <v>504</v>
      </c>
      <c r="U136" s="67">
        <v>560</v>
      </c>
      <c r="V136" s="67">
        <v>395</v>
      </c>
      <c r="W136" s="67">
        <v>1459</v>
      </c>
    </row>
    <row r="137" spans="19:23" x14ac:dyDescent="0.45">
      <c r="S137" s="49">
        <v>46111</v>
      </c>
      <c r="T137" s="67">
        <v>784</v>
      </c>
      <c r="U137" s="67">
        <v>385</v>
      </c>
      <c r="V137" s="67">
        <v>470</v>
      </c>
      <c r="W137" s="67">
        <v>1639</v>
      </c>
    </row>
    <row r="138" spans="19:23" x14ac:dyDescent="0.45">
      <c r="S138" s="49">
        <v>46112</v>
      </c>
      <c r="T138" s="67">
        <v>784</v>
      </c>
      <c r="U138" s="67">
        <v>560</v>
      </c>
      <c r="V138" s="67">
        <v>545</v>
      </c>
      <c r="W138" s="67">
        <v>1889</v>
      </c>
    </row>
    <row r="139" spans="19:23" x14ac:dyDescent="0.45">
      <c r="S139" s="49">
        <v>46113</v>
      </c>
      <c r="T139" s="67">
        <v>728</v>
      </c>
      <c r="U139" s="67">
        <v>325</v>
      </c>
      <c r="V139" s="67">
        <v>395</v>
      </c>
      <c r="W139" s="67">
        <v>1448</v>
      </c>
    </row>
    <row r="140" spans="19:23" x14ac:dyDescent="0.45">
      <c r="S140" s="49">
        <v>46114</v>
      </c>
      <c r="T140" s="67">
        <v>728</v>
      </c>
      <c r="U140" s="67">
        <v>350</v>
      </c>
      <c r="V140" s="67">
        <v>395</v>
      </c>
      <c r="W140" s="67">
        <v>1473</v>
      </c>
    </row>
    <row r="141" spans="19:23" x14ac:dyDescent="0.45">
      <c r="S141" s="49">
        <v>46115</v>
      </c>
      <c r="T141" s="67">
        <v>1092</v>
      </c>
      <c r="U141" s="67">
        <v>525</v>
      </c>
      <c r="V141" s="67">
        <v>705</v>
      </c>
      <c r="W141" s="67">
        <v>2322</v>
      </c>
    </row>
    <row r="142" spans="19:23" x14ac:dyDescent="0.45">
      <c r="S142" s="49">
        <v>46116</v>
      </c>
      <c r="T142" s="67">
        <v>756</v>
      </c>
      <c r="U142" s="67">
        <v>450</v>
      </c>
      <c r="V142" s="67">
        <v>592.5</v>
      </c>
      <c r="W142" s="67">
        <v>1798.5</v>
      </c>
    </row>
    <row r="143" spans="19:23" x14ac:dyDescent="0.45">
      <c r="S143" s="49">
        <v>46117</v>
      </c>
      <c r="T143" s="67">
        <v>504</v>
      </c>
      <c r="U143" s="67">
        <v>350</v>
      </c>
      <c r="V143" s="67">
        <v>395</v>
      </c>
      <c r="W143" s="67">
        <v>1249</v>
      </c>
    </row>
    <row r="144" spans="19:23" x14ac:dyDescent="0.45">
      <c r="S144" s="36" t="s">
        <v>120</v>
      </c>
      <c r="T144" s="67">
        <v>68824</v>
      </c>
      <c r="U144" s="67">
        <v>47110</v>
      </c>
      <c r="V144" s="67">
        <v>49510</v>
      </c>
      <c r="W144" s="67">
        <v>165444</v>
      </c>
    </row>
  </sheetData>
  <mergeCells count="7">
    <mergeCell ref="S41:W42"/>
    <mergeCell ref="B4:E5"/>
    <mergeCell ref="B20:E21"/>
    <mergeCell ref="H20:J21"/>
    <mergeCell ref="B41:E42"/>
    <mergeCell ref="H41:J42"/>
    <mergeCell ref="M41:P42"/>
  </mergeCells>
  <pageMargins left="0.7" right="0.7" top="0.75" bottom="0.75" header="0.3" footer="0.3"/>
  <pageSetup orientation="portrait" r:id="rId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393F3-310C-401A-A935-F6D1F02C8F01}">
  <sheetPr codeName="SheetDashboard"/>
  <dimension ref="A1:W6"/>
  <sheetViews>
    <sheetView showGridLines="0" zoomScale="80" zoomScaleNormal="80" workbookViewId="0">
      <selection activeCell="M86" sqref="M85:M86"/>
    </sheetView>
  </sheetViews>
  <sheetFormatPr defaultRowHeight="14.25" x14ac:dyDescent="0.45"/>
  <cols>
    <col min="1" max="1" width="3.6640625" customWidth="1"/>
    <col min="2" max="2" width="9.73046875" customWidth="1"/>
    <col min="3" max="3" width="12.6640625" customWidth="1"/>
    <col min="4" max="4" width="21.73046875" customWidth="1"/>
    <col min="5" max="11" width="9.59765625" customWidth="1"/>
    <col min="21" max="21" width="8.73046875" customWidth="1"/>
    <col min="23" max="23" width="9.796875" customWidth="1"/>
  </cols>
  <sheetData>
    <row r="1" spans="1:23" x14ac:dyDescent="0.45">
      <c r="A1" s="3"/>
      <c r="B1" s="3"/>
      <c r="C1" s="3"/>
      <c r="D1" s="3"/>
      <c r="E1" s="3"/>
      <c r="F1" s="3"/>
      <c r="G1" s="3"/>
      <c r="H1" s="3"/>
      <c r="I1" s="3"/>
      <c r="J1" s="3"/>
      <c r="K1" s="3"/>
      <c r="L1" s="3"/>
      <c r="M1" s="3"/>
      <c r="N1" s="3"/>
      <c r="O1" s="3"/>
      <c r="P1" s="3"/>
      <c r="Q1" s="3"/>
      <c r="R1" s="3"/>
      <c r="S1" s="3"/>
      <c r="T1" s="3"/>
      <c r="U1" s="3"/>
      <c r="V1" s="3"/>
      <c r="W1" s="3"/>
    </row>
    <row r="2" spans="1:23" x14ac:dyDescent="0.45">
      <c r="A2" s="1"/>
      <c r="B2" s="1"/>
      <c r="C2" s="1"/>
      <c r="D2" s="1"/>
      <c r="E2" s="1"/>
      <c r="F2" s="1"/>
      <c r="G2" s="1"/>
      <c r="H2" s="1"/>
      <c r="I2" s="1"/>
      <c r="J2" s="1"/>
      <c r="K2" s="1"/>
      <c r="L2" s="1"/>
      <c r="M2" s="1"/>
      <c r="N2" s="1"/>
      <c r="O2" s="1"/>
      <c r="P2" s="1"/>
      <c r="Q2" s="1"/>
      <c r="R2" s="1"/>
      <c r="S2" s="1"/>
      <c r="T2" s="1"/>
      <c r="U2" s="1"/>
      <c r="V2" s="1"/>
      <c r="W2" s="1"/>
    </row>
    <row r="3" spans="1:23" x14ac:dyDescent="0.45">
      <c r="A3" s="1"/>
      <c r="B3" s="1"/>
      <c r="C3" s="1"/>
      <c r="D3" s="1"/>
      <c r="E3" s="1"/>
      <c r="F3" s="1"/>
      <c r="G3" s="1"/>
      <c r="H3" s="1"/>
      <c r="I3" s="1"/>
      <c r="J3" s="1"/>
      <c r="K3" s="1"/>
      <c r="L3" s="1"/>
      <c r="M3" s="1"/>
      <c r="N3" s="1"/>
      <c r="O3" s="1"/>
      <c r="P3" s="1"/>
      <c r="Q3" s="1"/>
      <c r="R3" s="1"/>
      <c r="S3" s="1"/>
      <c r="T3" s="1"/>
      <c r="U3" s="1"/>
      <c r="V3" s="1"/>
      <c r="W3" s="1"/>
    </row>
    <row r="4" spans="1:23" x14ac:dyDescent="0.45">
      <c r="A4" s="1"/>
      <c r="B4" s="1"/>
      <c r="C4" s="1"/>
      <c r="D4" s="1"/>
      <c r="E4" s="1"/>
      <c r="F4" s="1"/>
      <c r="G4" s="1"/>
      <c r="H4" s="1"/>
      <c r="I4" s="1"/>
      <c r="J4" s="1"/>
      <c r="K4" s="1"/>
      <c r="L4" s="1"/>
      <c r="M4" s="1"/>
      <c r="N4" s="1"/>
      <c r="O4" s="1"/>
      <c r="P4" s="1"/>
      <c r="Q4" s="1"/>
      <c r="R4" s="1"/>
      <c r="S4" s="1"/>
      <c r="T4" s="1"/>
      <c r="U4" s="1"/>
      <c r="V4" s="1"/>
      <c r="W4" s="1"/>
    </row>
    <row r="5" spans="1:23" x14ac:dyDescent="0.45">
      <c r="A5" s="1"/>
      <c r="B5" s="1"/>
      <c r="C5" s="1"/>
      <c r="D5" s="1"/>
      <c r="E5" s="1"/>
      <c r="F5" s="1"/>
      <c r="G5" s="1"/>
      <c r="H5" s="1"/>
      <c r="I5" s="1"/>
      <c r="J5" s="1"/>
      <c r="K5" s="1"/>
      <c r="L5" s="1"/>
      <c r="M5" s="1"/>
      <c r="N5" s="1"/>
      <c r="O5" s="1"/>
      <c r="P5" s="1"/>
      <c r="Q5" s="1"/>
      <c r="R5" s="1"/>
      <c r="S5" s="1"/>
      <c r="T5" s="1"/>
      <c r="U5" s="1"/>
      <c r="V5" s="1"/>
      <c r="W5" s="1"/>
    </row>
    <row r="6" spans="1:23" x14ac:dyDescent="0.45">
      <c r="A6" s="1"/>
      <c r="B6" s="1"/>
      <c r="C6" s="1"/>
      <c r="D6" s="1"/>
      <c r="E6" s="1"/>
      <c r="F6" s="1"/>
      <c r="G6" s="1"/>
      <c r="H6" s="1"/>
      <c r="I6" s="1"/>
      <c r="J6" s="1"/>
      <c r="K6" s="1"/>
      <c r="L6" s="1"/>
      <c r="M6" s="1"/>
      <c r="N6" s="1"/>
      <c r="O6" s="1"/>
      <c r="P6" s="1"/>
      <c r="Q6" s="1"/>
      <c r="R6" s="1"/>
      <c r="S6" s="1"/>
      <c r="T6" s="1"/>
      <c r="U6" s="1"/>
      <c r="V6" s="1"/>
      <c r="W6" s="1"/>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Props1.xml><?xml version="1.0" encoding="utf-8"?>
<ds:datastoreItem xmlns:ds="http://schemas.openxmlformats.org/officeDocument/2006/customXml" ds:itemID="{8A811443-199D-4917-B6BA-DB32494B3792}">
  <ds:schemaRefs>
    <ds:schemaRef ds:uri="http://schemas.microsoft.com/DataMashup"/>
  </ds:schemaRefs>
</ds:datastoreItem>
</file>

<file path=customXml/itemProps2.xml><?xml version="1.0" encoding="utf-8"?>
<ds:datastoreItem xmlns:ds="http://schemas.openxmlformats.org/officeDocument/2006/customXml" ds:itemID="{EE07BC1C-955C-4497-943E-50469346E573}">
  <ds:schemaRefs/>
</ds:datastoreItem>
</file>

<file path=customXml/itemProps3.xml><?xml version="1.0" encoding="utf-8"?>
<ds:datastoreItem xmlns:ds="http://schemas.openxmlformats.org/officeDocument/2006/customXml" ds:itemID="{794B5582-41D3-44C2-B7D4-8B2BA14B8B67}">
  <ds:schemaRefs/>
</ds:datastoreItem>
</file>

<file path=customXml/itemProps4.xml><?xml version="1.0" encoding="utf-8"?>
<ds:datastoreItem xmlns:ds="http://schemas.openxmlformats.org/officeDocument/2006/customXml" ds:itemID="{7641B235-8286-4383-BFA5-8DD2479B9E18}">
  <ds:schemaRefs/>
</ds:datastoreItem>
</file>

<file path=customXml/itemProps5.xml><?xml version="1.0" encoding="utf-8"?>
<ds:datastoreItem xmlns:ds="http://schemas.openxmlformats.org/officeDocument/2006/customXml" ds:itemID="{4A6DAA5A-439D-4A23-BEE2-D42B7DC822F4}">
  <ds:schemaRefs/>
</ds:datastoreItem>
</file>

<file path=customXml/itemProps6.xml><?xml version="1.0" encoding="utf-8"?>
<ds:datastoreItem xmlns:ds="http://schemas.openxmlformats.org/officeDocument/2006/customXml" ds:itemID="{D8B3B853-E7AB-4E67-94DC-92B7261A773B}">
  <ds:schemaRefs/>
</ds:datastoreItem>
</file>

<file path=customXml/itemProps7.xml><?xml version="1.0" encoding="utf-8"?>
<ds:datastoreItem xmlns:ds="http://schemas.openxmlformats.org/officeDocument/2006/customXml" ds:itemID="{3DF12301-50A7-49EB-B26F-958797FBDB53}">
  <ds:schemaRefs/>
</ds:datastoreItem>
</file>

<file path=customXml/itemProps8.xml><?xml version="1.0" encoding="utf-8"?>
<ds:datastoreItem xmlns:ds="http://schemas.openxmlformats.org/officeDocument/2006/customXml" ds:itemID="{9BB18F73-E77D-45E3-8B9C-FED59ADE6727}">
  <ds:schemaRefs/>
</ds:datastoreItem>
</file>

<file path=customXml/itemProps9.xml><?xml version="1.0" encoding="utf-8"?>
<ds:datastoreItem xmlns:ds="http://schemas.openxmlformats.org/officeDocument/2006/customXml" ds:itemID="{862A25EE-5755-4AD5-99F1-82EBE6CA9E71}">
  <ds:schemaRefs/>
</ds:datastoreItem>
</file>

<file path=customXml/itemProps10.xml><?xml version="1.0" encoding="utf-8"?>
<ds:datastoreItem xmlns:ds="http://schemas.openxmlformats.org/officeDocument/2006/customXml" ds:itemID="{2C9BA9AC-9993-4038-A19D-67008C635C6B}">
  <ds:schemaRefs/>
</ds:datastoreItem>
</file>

<file path=customXml/itemProps11.xml><?xml version="1.0" encoding="utf-8"?>
<ds:datastoreItem xmlns:ds="http://schemas.openxmlformats.org/officeDocument/2006/customXml" ds:itemID="{53CCB53F-BA74-4701-A612-B28B6B0F902E}">
  <ds:schemaRefs/>
</ds:datastoreItem>
</file>

<file path=customXml/itemProps12.xml><?xml version="1.0" encoding="utf-8"?>
<ds:datastoreItem xmlns:ds="http://schemas.openxmlformats.org/officeDocument/2006/customXml" ds:itemID="{0A707A39-F436-4EA2-AD59-5DCBA8C87823}">
  <ds:schemaRefs/>
</ds:datastoreItem>
</file>

<file path=customXml/itemProps13.xml><?xml version="1.0" encoding="utf-8"?>
<ds:datastoreItem xmlns:ds="http://schemas.openxmlformats.org/officeDocument/2006/customXml" ds:itemID="{38B49159-F4B4-4B2E-8C5C-12A94DFBA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13</vt:i4>
      </vt:variant>
    </vt:vector>
  </HeadingPairs>
  <TitlesOfParts>
    <vt:vector size="22" baseType="lpstr">
      <vt:lpstr>Schedule</vt:lpstr>
      <vt:lpstr>Staff</vt:lpstr>
      <vt:lpstr>Ref</vt:lpstr>
      <vt:lpstr>Setting</vt:lpstr>
      <vt:lpstr>PublicHoliday</vt:lpstr>
      <vt:lpstr>tblWeeklyData</vt:lpstr>
      <vt:lpstr>tblHistory</vt:lpstr>
      <vt:lpstr>Pivot</vt:lpstr>
      <vt:lpstr>Dashboard</vt:lpstr>
      <vt:lpstr>ddAssistantChefShift</vt:lpstr>
      <vt:lpstr>ddAssistantManagerShift</vt:lpstr>
      <vt:lpstr>ddChefShift</vt:lpstr>
      <vt:lpstr>ddRole</vt:lpstr>
      <vt:lpstr>ddServerShift</vt:lpstr>
      <vt:lpstr>ddStaffName</vt:lpstr>
      <vt:lpstr>ddStoreManagerShift</vt:lpstr>
      <vt:lpstr>holiday_rate_multiplier</vt:lpstr>
      <vt:lpstr>holiday_weekend_count</vt:lpstr>
      <vt:lpstr>HolidayList</vt:lpstr>
      <vt:lpstr>report_date</vt:lpstr>
      <vt:lpstr>sat_rate_multiplier</vt:lpstr>
      <vt:lpstr>sun_rate_multiplier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AbcFunWithExcel</dc:creator>
  <cp:lastModifiedBy>AbcFunWithExcel</cp:lastModifiedBy>
  <dcterms:created xsi:type="dcterms:W3CDTF">2026-03-16T06:54:36Z</dcterms:created>
  <dcterms:modified xsi:type="dcterms:W3CDTF">2026-04-27T04:44:18Z</dcterms:modified>
</cp:coreProperties>
</file>